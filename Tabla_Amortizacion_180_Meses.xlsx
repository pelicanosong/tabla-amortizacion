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de Amor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0%"/>
    <numFmt numFmtId="166" formatCode="yyyy-mm-dd"/>
    <numFmt numFmtId="167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9E1F2"/>
      <sz val="10"/>
    </font>
    <font>
      <name val="Calibri"/>
      <b val="1"/>
      <color rgb="001F4E78"/>
      <sz val="11"/>
    </font>
    <font>
      <name val="Calibri"/>
      <b val="1"/>
      <sz val="10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F4E7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167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7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164" fontId="4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0" customWidth="1" min="4" max="4"/>
    <col width="22" customWidth="1" min="5" max="5"/>
    <col width="20" customWidth="1" min="6" max="6"/>
    <col width="22" customWidth="1" min="7" max="7"/>
  </cols>
  <sheetData>
    <row r="1" ht="28" customHeight="1">
      <c r="A1" s="1" t="inlineStr">
        <is>
          <t>TABLA DE AMORTIZACIÓN DE CRÉDITO (CUOTA FIJA)</t>
        </is>
      </c>
    </row>
    <row r="2" ht="18" customHeight="1">
      <c r="A2" s="2" t="inlineStr">
        <is>
          <t>Proyección para 180 Meses - 100% Desbloqueada y Modificable</t>
        </is>
      </c>
    </row>
    <row r="4">
      <c r="A4" s="3" t="inlineStr">
        <is>
          <t>DATOS DEL PRÉSTAMO (MODIFICABLES)</t>
        </is>
      </c>
      <c r="E4" s="3" t="inlineStr">
        <is>
          <t>RESUMEN DEL CRÉDITO</t>
        </is>
      </c>
    </row>
    <row r="5">
      <c r="A5" s="4" t="inlineStr">
        <is>
          <t>Capital Inicial (Monto Solicitado):</t>
        </is>
      </c>
      <c r="C5" s="5" t="n">
        <v>50000000</v>
      </c>
      <c r="E5" s="4" t="inlineStr">
        <is>
          <t>Fecha Final Estimada:</t>
        </is>
      </c>
      <c r="G5" s="6">
        <f>IF(C8&gt;0, EDATE(C9, C8), "")</f>
        <v/>
      </c>
    </row>
    <row r="6">
      <c r="A6" s="4" t="inlineStr">
        <is>
          <t>Tasa de Interés Nominal Anual (TNA):</t>
        </is>
      </c>
      <c r="C6" s="7" t="n">
        <v>0.12</v>
      </c>
      <c r="E6" s="4" t="inlineStr">
        <is>
          <t>Valor de la Cuota Mensual Fija:</t>
        </is>
      </c>
      <c r="G6" s="8">
        <f>IF(AND(C5&gt;0, C8&gt;0, C7&gt;0), PMT(C7, C8, -C5), IF(C8&gt;0, C5/C8, 0))</f>
        <v/>
      </c>
    </row>
    <row r="7">
      <c r="A7" s="4" t="inlineStr">
        <is>
          <t>Tasa de Interés Mensual:</t>
        </is>
      </c>
      <c r="C7" s="9">
        <f>C6/12</f>
        <v/>
      </c>
      <c r="E7" s="4" t="inlineStr">
        <is>
          <t>Total de Intereses a Pagar:</t>
        </is>
      </c>
      <c r="G7" s="8">
        <f>SUM(F14:F193)</f>
        <v/>
      </c>
    </row>
    <row r="8">
      <c r="A8" s="4" t="inlineStr">
        <is>
          <t>Plazo Total (en Meses):</t>
        </is>
      </c>
      <c r="C8" s="10" t="n">
        <v>180</v>
      </c>
      <c r="E8" s="4" t="inlineStr">
        <is>
          <t>Total a Pagar (Capital + Intereses):</t>
        </is>
      </c>
      <c r="G8" s="8">
        <f>C5+G7</f>
        <v/>
      </c>
    </row>
    <row r="9">
      <c r="A9" s="4" t="inlineStr">
        <is>
          <t>Fecha Inicial (Primer Desembolso):</t>
        </is>
      </c>
      <c r="C9" s="11" t="n">
        <v>46296</v>
      </c>
      <c r="E9" s="4" t="inlineStr">
        <is>
          <t>Porcentaje Total de Intereses:</t>
        </is>
      </c>
      <c r="G9" s="12">
        <f>IF(C5&gt;0, G7/C5, 0)</f>
        <v/>
      </c>
    </row>
    <row r="11">
      <c r="A11" s="13" t="inlineStr">
        <is>
          <t>ℹ️ Modifique las celdas amarillas (C5: Capital, C6: Tasa de Interés, C8: Plazo, C9: Fecha Inicial). Todo se recalcula de forma automática y puede grabar el archivo sin restricciones.</t>
        </is>
      </c>
    </row>
    <row r="13" ht="26" customHeight="1">
      <c r="A13" s="14" t="inlineStr">
        <is>
          <t>Número de Cuota</t>
        </is>
      </c>
      <c r="B13" s="14" t="inlineStr">
        <is>
          <t>Fecha</t>
        </is>
      </c>
      <c r="C13" s="14" t="inlineStr">
        <is>
          <t>Capital Inicial</t>
        </is>
      </c>
      <c r="D13" s="14" t="inlineStr">
        <is>
          <t>Cuota Total</t>
        </is>
      </c>
      <c r="E13" s="14" t="inlineStr">
        <is>
          <t>Cuota Capital</t>
        </is>
      </c>
      <c r="F13" s="14" t="inlineStr">
        <is>
          <t>Intereses</t>
        </is>
      </c>
      <c r="G13" s="14" t="inlineStr">
        <is>
          <t>Saldo del Capital</t>
        </is>
      </c>
    </row>
    <row r="14" ht="20" customHeight="1">
      <c r="A14" s="15" t="n">
        <v>1</v>
      </c>
      <c r="B14" s="16">
        <f>IF(A14&lt;=$C$8, EDATE($C$9, A14), "")</f>
        <v/>
      </c>
      <c r="C14" s="17">
        <f>IF(A14&lt;=$C$8, $C$5, 0)</f>
        <v/>
      </c>
      <c r="D14" s="17">
        <f>IF(AND(A14&lt;=$C$8, C14&gt;0), IF(A14=$C$8, C14+F14, $G$6), 0)</f>
        <v/>
      </c>
      <c r="E14" s="17">
        <f>IF(AND(A14&lt;=$C$8, C14&gt;0), MIN(C14, D14-F14), 0)</f>
        <v/>
      </c>
      <c r="F14" s="17">
        <f>IF(AND(A14&lt;=$C$8, C14&gt;0), C14*$C$7, 0)</f>
        <v/>
      </c>
      <c r="G14" s="17">
        <f>IF(AND(A14&lt;=$C$8, C14&gt;0), MAX(0, C14-E14), 0)</f>
        <v/>
      </c>
    </row>
    <row r="15" ht="20" customHeight="1">
      <c r="A15" s="18" t="n">
        <v>2</v>
      </c>
      <c r="B15" s="19">
        <f>IF(A15&lt;=$C$8, EDATE($C$9, A15), "")</f>
        <v/>
      </c>
      <c r="C15" s="20">
        <f>IF(A15&lt;=$C$8, G14, 0)</f>
        <v/>
      </c>
      <c r="D15" s="20">
        <f>IF(AND(A15&lt;=$C$8, C15&gt;0), IF(A15=$C$8, C15+F15, $G$6), 0)</f>
        <v/>
      </c>
      <c r="E15" s="20">
        <f>IF(AND(A15&lt;=$C$8, C15&gt;0), MIN(C15, D15-F15), 0)</f>
        <v/>
      </c>
      <c r="F15" s="20">
        <f>IF(AND(A15&lt;=$C$8, C15&gt;0), C15*$C$7, 0)</f>
        <v/>
      </c>
      <c r="G15" s="20">
        <f>IF(AND(A15&lt;=$C$8, C15&gt;0), MAX(0, C15-E15), 0)</f>
        <v/>
      </c>
    </row>
    <row r="16" ht="20" customHeight="1">
      <c r="A16" s="15" t="n">
        <v>3</v>
      </c>
      <c r="B16" s="16">
        <f>IF(A16&lt;=$C$8, EDATE($C$9, A16), "")</f>
        <v/>
      </c>
      <c r="C16" s="17">
        <f>IF(A16&lt;=$C$8, G15, 0)</f>
        <v/>
      </c>
      <c r="D16" s="17">
        <f>IF(AND(A16&lt;=$C$8, C16&gt;0), IF(A16=$C$8, C16+F16, $G$6), 0)</f>
        <v/>
      </c>
      <c r="E16" s="17">
        <f>IF(AND(A16&lt;=$C$8, C16&gt;0), MIN(C16, D16-F16), 0)</f>
        <v/>
      </c>
      <c r="F16" s="17">
        <f>IF(AND(A16&lt;=$C$8, C16&gt;0), C16*$C$7, 0)</f>
        <v/>
      </c>
      <c r="G16" s="17">
        <f>IF(AND(A16&lt;=$C$8, C16&gt;0), MAX(0, C16-E16), 0)</f>
        <v/>
      </c>
    </row>
    <row r="17" ht="20" customHeight="1">
      <c r="A17" s="18" t="n">
        <v>4</v>
      </c>
      <c r="B17" s="19">
        <f>IF(A17&lt;=$C$8, EDATE($C$9, A17), "")</f>
        <v/>
      </c>
      <c r="C17" s="20">
        <f>IF(A17&lt;=$C$8, G16, 0)</f>
        <v/>
      </c>
      <c r="D17" s="20">
        <f>IF(AND(A17&lt;=$C$8, C17&gt;0), IF(A17=$C$8, C17+F17, $G$6), 0)</f>
        <v/>
      </c>
      <c r="E17" s="20">
        <f>IF(AND(A17&lt;=$C$8, C17&gt;0), MIN(C17, D17-F17), 0)</f>
        <v/>
      </c>
      <c r="F17" s="20">
        <f>IF(AND(A17&lt;=$C$8, C17&gt;0), C17*$C$7, 0)</f>
        <v/>
      </c>
      <c r="G17" s="20">
        <f>IF(AND(A17&lt;=$C$8, C17&gt;0), MAX(0, C17-E17), 0)</f>
        <v/>
      </c>
    </row>
    <row r="18" ht="20" customHeight="1">
      <c r="A18" s="15" t="n">
        <v>5</v>
      </c>
      <c r="B18" s="16">
        <f>IF(A18&lt;=$C$8, EDATE($C$9, A18), "")</f>
        <v/>
      </c>
      <c r="C18" s="17">
        <f>IF(A18&lt;=$C$8, G17, 0)</f>
        <v/>
      </c>
      <c r="D18" s="17">
        <f>IF(AND(A18&lt;=$C$8, C18&gt;0), IF(A18=$C$8, C18+F18, $G$6), 0)</f>
        <v/>
      </c>
      <c r="E18" s="17">
        <f>IF(AND(A18&lt;=$C$8, C18&gt;0), MIN(C18, D18-F18), 0)</f>
        <v/>
      </c>
      <c r="F18" s="17">
        <f>IF(AND(A18&lt;=$C$8, C18&gt;0), C18*$C$7, 0)</f>
        <v/>
      </c>
      <c r="G18" s="17">
        <f>IF(AND(A18&lt;=$C$8, C18&gt;0), MAX(0, C18-E18), 0)</f>
        <v/>
      </c>
    </row>
    <row r="19" ht="20" customHeight="1">
      <c r="A19" s="18" t="n">
        <v>6</v>
      </c>
      <c r="B19" s="19">
        <f>IF(A19&lt;=$C$8, EDATE($C$9, A19), "")</f>
        <v/>
      </c>
      <c r="C19" s="20">
        <f>IF(A19&lt;=$C$8, G18, 0)</f>
        <v/>
      </c>
      <c r="D19" s="20">
        <f>IF(AND(A19&lt;=$C$8, C19&gt;0), IF(A19=$C$8, C19+F19, $G$6), 0)</f>
        <v/>
      </c>
      <c r="E19" s="20">
        <f>IF(AND(A19&lt;=$C$8, C19&gt;0), MIN(C19, D19-F19), 0)</f>
        <v/>
      </c>
      <c r="F19" s="20">
        <f>IF(AND(A19&lt;=$C$8, C19&gt;0), C19*$C$7, 0)</f>
        <v/>
      </c>
      <c r="G19" s="20">
        <f>IF(AND(A19&lt;=$C$8, C19&gt;0), MAX(0, C19-E19), 0)</f>
        <v/>
      </c>
    </row>
    <row r="20" ht="20" customHeight="1">
      <c r="A20" s="15" t="n">
        <v>7</v>
      </c>
      <c r="B20" s="16">
        <f>IF(A20&lt;=$C$8, EDATE($C$9, A20), "")</f>
        <v/>
      </c>
      <c r="C20" s="17">
        <f>IF(A20&lt;=$C$8, G19, 0)</f>
        <v/>
      </c>
      <c r="D20" s="17">
        <f>IF(AND(A20&lt;=$C$8, C20&gt;0), IF(A20=$C$8, C20+F20, $G$6), 0)</f>
        <v/>
      </c>
      <c r="E20" s="17">
        <f>IF(AND(A20&lt;=$C$8, C20&gt;0), MIN(C20, D20-F20), 0)</f>
        <v/>
      </c>
      <c r="F20" s="17">
        <f>IF(AND(A20&lt;=$C$8, C20&gt;0), C20*$C$7, 0)</f>
        <v/>
      </c>
      <c r="G20" s="17">
        <f>IF(AND(A20&lt;=$C$8, C20&gt;0), MAX(0, C20-E20), 0)</f>
        <v/>
      </c>
    </row>
    <row r="21" ht="20" customHeight="1">
      <c r="A21" s="18" t="n">
        <v>8</v>
      </c>
      <c r="B21" s="19">
        <f>IF(A21&lt;=$C$8, EDATE($C$9, A21), "")</f>
        <v/>
      </c>
      <c r="C21" s="20">
        <f>IF(A21&lt;=$C$8, G20, 0)</f>
        <v/>
      </c>
      <c r="D21" s="20">
        <f>IF(AND(A21&lt;=$C$8, C21&gt;0), IF(A21=$C$8, C21+F21, $G$6), 0)</f>
        <v/>
      </c>
      <c r="E21" s="20">
        <f>IF(AND(A21&lt;=$C$8, C21&gt;0), MIN(C21, D21-F21), 0)</f>
        <v/>
      </c>
      <c r="F21" s="20">
        <f>IF(AND(A21&lt;=$C$8, C21&gt;0), C21*$C$7, 0)</f>
        <v/>
      </c>
      <c r="G21" s="20">
        <f>IF(AND(A21&lt;=$C$8, C21&gt;0), MAX(0, C21-E21), 0)</f>
        <v/>
      </c>
    </row>
    <row r="22" ht="20" customHeight="1">
      <c r="A22" s="15" t="n">
        <v>9</v>
      </c>
      <c r="B22" s="16">
        <f>IF(A22&lt;=$C$8, EDATE($C$9, A22), "")</f>
        <v/>
      </c>
      <c r="C22" s="17">
        <f>IF(A22&lt;=$C$8, G21, 0)</f>
        <v/>
      </c>
      <c r="D22" s="17">
        <f>IF(AND(A22&lt;=$C$8, C22&gt;0), IF(A22=$C$8, C22+F22, $G$6), 0)</f>
        <v/>
      </c>
      <c r="E22" s="17">
        <f>IF(AND(A22&lt;=$C$8, C22&gt;0), MIN(C22, D22-F22), 0)</f>
        <v/>
      </c>
      <c r="F22" s="17">
        <f>IF(AND(A22&lt;=$C$8, C22&gt;0), C22*$C$7, 0)</f>
        <v/>
      </c>
      <c r="G22" s="17">
        <f>IF(AND(A22&lt;=$C$8, C22&gt;0), MAX(0, C22-E22), 0)</f>
        <v/>
      </c>
    </row>
    <row r="23" ht="20" customHeight="1">
      <c r="A23" s="18" t="n">
        <v>10</v>
      </c>
      <c r="B23" s="19">
        <f>IF(A23&lt;=$C$8, EDATE($C$9, A23), "")</f>
        <v/>
      </c>
      <c r="C23" s="20">
        <f>IF(A23&lt;=$C$8, G22, 0)</f>
        <v/>
      </c>
      <c r="D23" s="20">
        <f>IF(AND(A23&lt;=$C$8, C23&gt;0), IF(A23=$C$8, C23+F23, $G$6), 0)</f>
        <v/>
      </c>
      <c r="E23" s="20">
        <f>IF(AND(A23&lt;=$C$8, C23&gt;0), MIN(C23, D23-F23), 0)</f>
        <v/>
      </c>
      <c r="F23" s="20">
        <f>IF(AND(A23&lt;=$C$8, C23&gt;0), C23*$C$7, 0)</f>
        <v/>
      </c>
      <c r="G23" s="20">
        <f>IF(AND(A23&lt;=$C$8, C23&gt;0), MAX(0, C23-E23), 0)</f>
        <v/>
      </c>
    </row>
    <row r="24" ht="20" customHeight="1">
      <c r="A24" s="15" t="n">
        <v>11</v>
      </c>
      <c r="B24" s="16">
        <f>IF(A24&lt;=$C$8, EDATE($C$9, A24), "")</f>
        <v/>
      </c>
      <c r="C24" s="17">
        <f>IF(A24&lt;=$C$8, G23, 0)</f>
        <v/>
      </c>
      <c r="D24" s="17">
        <f>IF(AND(A24&lt;=$C$8, C24&gt;0), IF(A24=$C$8, C24+F24, $G$6), 0)</f>
        <v/>
      </c>
      <c r="E24" s="17">
        <f>IF(AND(A24&lt;=$C$8, C24&gt;0), MIN(C24, D24-F24), 0)</f>
        <v/>
      </c>
      <c r="F24" s="17">
        <f>IF(AND(A24&lt;=$C$8, C24&gt;0), C24*$C$7, 0)</f>
        <v/>
      </c>
      <c r="G24" s="17">
        <f>IF(AND(A24&lt;=$C$8, C24&gt;0), MAX(0, C24-E24), 0)</f>
        <v/>
      </c>
    </row>
    <row r="25" ht="20" customHeight="1">
      <c r="A25" s="18" t="n">
        <v>12</v>
      </c>
      <c r="B25" s="19">
        <f>IF(A25&lt;=$C$8, EDATE($C$9, A25), "")</f>
        <v/>
      </c>
      <c r="C25" s="20">
        <f>IF(A25&lt;=$C$8, G24, 0)</f>
        <v/>
      </c>
      <c r="D25" s="20">
        <f>IF(AND(A25&lt;=$C$8, C25&gt;0), IF(A25=$C$8, C25+F25, $G$6), 0)</f>
        <v/>
      </c>
      <c r="E25" s="20">
        <f>IF(AND(A25&lt;=$C$8, C25&gt;0), MIN(C25, D25-F25), 0)</f>
        <v/>
      </c>
      <c r="F25" s="20">
        <f>IF(AND(A25&lt;=$C$8, C25&gt;0), C25*$C$7, 0)</f>
        <v/>
      </c>
      <c r="G25" s="20">
        <f>IF(AND(A25&lt;=$C$8, C25&gt;0), MAX(0, C25-E25), 0)</f>
        <v/>
      </c>
    </row>
    <row r="26" ht="20" customHeight="1">
      <c r="A26" s="15" t="n">
        <v>13</v>
      </c>
      <c r="B26" s="16">
        <f>IF(A26&lt;=$C$8, EDATE($C$9, A26), "")</f>
        <v/>
      </c>
      <c r="C26" s="17">
        <f>IF(A26&lt;=$C$8, G25, 0)</f>
        <v/>
      </c>
      <c r="D26" s="17">
        <f>IF(AND(A26&lt;=$C$8, C26&gt;0), IF(A26=$C$8, C26+F26, $G$6), 0)</f>
        <v/>
      </c>
      <c r="E26" s="17">
        <f>IF(AND(A26&lt;=$C$8, C26&gt;0), MIN(C26, D26-F26), 0)</f>
        <v/>
      </c>
      <c r="F26" s="17">
        <f>IF(AND(A26&lt;=$C$8, C26&gt;0), C26*$C$7, 0)</f>
        <v/>
      </c>
      <c r="G26" s="17">
        <f>IF(AND(A26&lt;=$C$8, C26&gt;0), MAX(0, C26-E26), 0)</f>
        <v/>
      </c>
    </row>
    <row r="27" ht="20" customHeight="1">
      <c r="A27" s="18" t="n">
        <v>14</v>
      </c>
      <c r="B27" s="19">
        <f>IF(A27&lt;=$C$8, EDATE($C$9, A27), "")</f>
        <v/>
      </c>
      <c r="C27" s="20">
        <f>IF(A27&lt;=$C$8, G26, 0)</f>
        <v/>
      </c>
      <c r="D27" s="20">
        <f>IF(AND(A27&lt;=$C$8, C27&gt;0), IF(A27=$C$8, C27+F27, $G$6), 0)</f>
        <v/>
      </c>
      <c r="E27" s="20">
        <f>IF(AND(A27&lt;=$C$8, C27&gt;0), MIN(C27, D27-F27), 0)</f>
        <v/>
      </c>
      <c r="F27" s="20">
        <f>IF(AND(A27&lt;=$C$8, C27&gt;0), C27*$C$7, 0)</f>
        <v/>
      </c>
      <c r="G27" s="20">
        <f>IF(AND(A27&lt;=$C$8, C27&gt;0), MAX(0, C27-E27), 0)</f>
        <v/>
      </c>
    </row>
    <row r="28" ht="20" customHeight="1">
      <c r="A28" s="15" t="n">
        <v>15</v>
      </c>
      <c r="B28" s="16">
        <f>IF(A28&lt;=$C$8, EDATE($C$9, A28), "")</f>
        <v/>
      </c>
      <c r="C28" s="17">
        <f>IF(A28&lt;=$C$8, G27, 0)</f>
        <v/>
      </c>
      <c r="D28" s="17">
        <f>IF(AND(A28&lt;=$C$8, C28&gt;0), IF(A28=$C$8, C28+F28, $G$6), 0)</f>
        <v/>
      </c>
      <c r="E28" s="17">
        <f>IF(AND(A28&lt;=$C$8, C28&gt;0), MIN(C28, D28-F28), 0)</f>
        <v/>
      </c>
      <c r="F28" s="17">
        <f>IF(AND(A28&lt;=$C$8, C28&gt;0), C28*$C$7, 0)</f>
        <v/>
      </c>
      <c r="G28" s="17">
        <f>IF(AND(A28&lt;=$C$8, C28&gt;0), MAX(0, C28-E28), 0)</f>
        <v/>
      </c>
    </row>
    <row r="29" ht="20" customHeight="1">
      <c r="A29" s="18" t="n">
        <v>16</v>
      </c>
      <c r="B29" s="19">
        <f>IF(A29&lt;=$C$8, EDATE($C$9, A29), "")</f>
        <v/>
      </c>
      <c r="C29" s="20">
        <f>IF(A29&lt;=$C$8, G28, 0)</f>
        <v/>
      </c>
      <c r="D29" s="20">
        <f>IF(AND(A29&lt;=$C$8, C29&gt;0), IF(A29=$C$8, C29+F29, $G$6), 0)</f>
        <v/>
      </c>
      <c r="E29" s="20">
        <f>IF(AND(A29&lt;=$C$8, C29&gt;0), MIN(C29, D29-F29), 0)</f>
        <v/>
      </c>
      <c r="F29" s="20">
        <f>IF(AND(A29&lt;=$C$8, C29&gt;0), C29*$C$7, 0)</f>
        <v/>
      </c>
      <c r="G29" s="20">
        <f>IF(AND(A29&lt;=$C$8, C29&gt;0), MAX(0, C29-E29), 0)</f>
        <v/>
      </c>
    </row>
    <row r="30" ht="20" customHeight="1">
      <c r="A30" s="15" t="n">
        <v>17</v>
      </c>
      <c r="B30" s="16">
        <f>IF(A30&lt;=$C$8, EDATE($C$9, A30), "")</f>
        <v/>
      </c>
      <c r="C30" s="17">
        <f>IF(A30&lt;=$C$8, G29, 0)</f>
        <v/>
      </c>
      <c r="D30" s="17">
        <f>IF(AND(A30&lt;=$C$8, C30&gt;0), IF(A30=$C$8, C30+F30, $G$6), 0)</f>
        <v/>
      </c>
      <c r="E30" s="17">
        <f>IF(AND(A30&lt;=$C$8, C30&gt;0), MIN(C30, D30-F30), 0)</f>
        <v/>
      </c>
      <c r="F30" s="17">
        <f>IF(AND(A30&lt;=$C$8, C30&gt;0), C30*$C$7, 0)</f>
        <v/>
      </c>
      <c r="G30" s="17">
        <f>IF(AND(A30&lt;=$C$8, C30&gt;0), MAX(0, C30-E30), 0)</f>
        <v/>
      </c>
    </row>
    <row r="31" ht="20" customHeight="1">
      <c r="A31" s="18" t="n">
        <v>18</v>
      </c>
      <c r="B31" s="19">
        <f>IF(A31&lt;=$C$8, EDATE($C$9, A31), "")</f>
        <v/>
      </c>
      <c r="C31" s="20">
        <f>IF(A31&lt;=$C$8, G30, 0)</f>
        <v/>
      </c>
      <c r="D31" s="20">
        <f>IF(AND(A31&lt;=$C$8, C31&gt;0), IF(A31=$C$8, C31+F31, $G$6), 0)</f>
        <v/>
      </c>
      <c r="E31" s="20">
        <f>IF(AND(A31&lt;=$C$8, C31&gt;0), MIN(C31, D31-F31), 0)</f>
        <v/>
      </c>
      <c r="F31" s="20">
        <f>IF(AND(A31&lt;=$C$8, C31&gt;0), C31*$C$7, 0)</f>
        <v/>
      </c>
      <c r="G31" s="20">
        <f>IF(AND(A31&lt;=$C$8, C31&gt;0), MAX(0, C31-E31), 0)</f>
        <v/>
      </c>
    </row>
    <row r="32" ht="20" customHeight="1">
      <c r="A32" s="15" t="n">
        <v>19</v>
      </c>
      <c r="B32" s="16">
        <f>IF(A32&lt;=$C$8, EDATE($C$9, A32), "")</f>
        <v/>
      </c>
      <c r="C32" s="17">
        <f>IF(A32&lt;=$C$8, G31, 0)</f>
        <v/>
      </c>
      <c r="D32" s="17">
        <f>IF(AND(A32&lt;=$C$8, C32&gt;0), IF(A32=$C$8, C32+F32, $G$6), 0)</f>
        <v/>
      </c>
      <c r="E32" s="17">
        <f>IF(AND(A32&lt;=$C$8, C32&gt;0), MIN(C32, D32-F32), 0)</f>
        <v/>
      </c>
      <c r="F32" s="17">
        <f>IF(AND(A32&lt;=$C$8, C32&gt;0), C32*$C$7, 0)</f>
        <v/>
      </c>
      <c r="G32" s="17">
        <f>IF(AND(A32&lt;=$C$8, C32&gt;0), MAX(0, C32-E32), 0)</f>
        <v/>
      </c>
    </row>
    <row r="33" ht="20" customHeight="1">
      <c r="A33" s="18" t="n">
        <v>20</v>
      </c>
      <c r="B33" s="19">
        <f>IF(A33&lt;=$C$8, EDATE($C$9, A33), "")</f>
        <v/>
      </c>
      <c r="C33" s="20">
        <f>IF(A33&lt;=$C$8, G32, 0)</f>
        <v/>
      </c>
      <c r="D33" s="20">
        <f>IF(AND(A33&lt;=$C$8, C33&gt;0), IF(A33=$C$8, C33+F33, $G$6), 0)</f>
        <v/>
      </c>
      <c r="E33" s="20">
        <f>IF(AND(A33&lt;=$C$8, C33&gt;0), MIN(C33, D33-F33), 0)</f>
        <v/>
      </c>
      <c r="F33" s="20">
        <f>IF(AND(A33&lt;=$C$8, C33&gt;0), C33*$C$7, 0)</f>
        <v/>
      </c>
      <c r="G33" s="20">
        <f>IF(AND(A33&lt;=$C$8, C33&gt;0), MAX(0, C33-E33), 0)</f>
        <v/>
      </c>
    </row>
    <row r="34" ht="20" customHeight="1">
      <c r="A34" s="15" t="n">
        <v>21</v>
      </c>
      <c r="B34" s="16">
        <f>IF(A34&lt;=$C$8, EDATE($C$9, A34), "")</f>
        <v/>
      </c>
      <c r="C34" s="17">
        <f>IF(A34&lt;=$C$8, G33, 0)</f>
        <v/>
      </c>
      <c r="D34" s="17">
        <f>IF(AND(A34&lt;=$C$8, C34&gt;0), IF(A34=$C$8, C34+F34, $G$6), 0)</f>
        <v/>
      </c>
      <c r="E34" s="17">
        <f>IF(AND(A34&lt;=$C$8, C34&gt;0), MIN(C34, D34-F34), 0)</f>
        <v/>
      </c>
      <c r="F34" s="17">
        <f>IF(AND(A34&lt;=$C$8, C34&gt;0), C34*$C$7, 0)</f>
        <v/>
      </c>
      <c r="G34" s="17">
        <f>IF(AND(A34&lt;=$C$8, C34&gt;0), MAX(0, C34-E34), 0)</f>
        <v/>
      </c>
    </row>
    <row r="35" ht="20" customHeight="1">
      <c r="A35" s="18" t="n">
        <v>22</v>
      </c>
      <c r="B35" s="19">
        <f>IF(A35&lt;=$C$8, EDATE($C$9, A35), "")</f>
        <v/>
      </c>
      <c r="C35" s="20">
        <f>IF(A35&lt;=$C$8, G34, 0)</f>
        <v/>
      </c>
      <c r="D35" s="20">
        <f>IF(AND(A35&lt;=$C$8, C35&gt;0), IF(A35=$C$8, C35+F35, $G$6), 0)</f>
        <v/>
      </c>
      <c r="E35" s="20">
        <f>IF(AND(A35&lt;=$C$8, C35&gt;0), MIN(C35, D35-F35), 0)</f>
        <v/>
      </c>
      <c r="F35" s="20">
        <f>IF(AND(A35&lt;=$C$8, C35&gt;0), C35*$C$7, 0)</f>
        <v/>
      </c>
      <c r="G35" s="20">
        <f>IF(AND(A35&lt;=$C$8, C35&gt;0), MAX(0, C35-E35), 0)</f>
        <v/>
      </c>
    </row>
    <row r="36" ht="20" customHeight="1">
      <c r="A36" s="15" t="n">
        <v>23</v>
      </c>
      <c r="B36" s="16">
        <f>IF(A36&lt;=$C$8, EDATE($C$9, A36), "")</f>
        <v/>
      </c>
      <c r="C36" s="17">
        <f>IF(A36&lt;=$C$8, G35, 0)</f>
        <v/>
      </c>
      <c r="D36" s="17">
        <f>IF(AND(A36&lt;=$C$8, C36&gt;0), IF(A36=$C$8, C36+F36, $G$6), 0)</f>
        <v/>
      </c>
      <c r="E36" s="17">
        <f>IF(AND(A36&lt;=$C$8, C36&gt;0), MIN(C36, D36-F36), 0)</f>
        <v/>
      </c>
      <c r="F36" s="17">
        <f>IF(AND(A36&lt;=$C$8, C36&gt;0), C36*$C$7, 0)</f>
        <v/>
      </c>
      <c r="G36" s="17">
        <f>IF(AND(A36&lt;=$C$8, C36&gt;0), MAX(0, C36-E36), 0)</f>
        <v/>
      </c>
    </row>
    <row r="37" ht="20" customHeight="1">
      <c r="A37" s="18" t="n">
        <v>24</v>
      </c>
      <c r="B37" s="19">
        <f>IF(A37&lt;=$C$8, EDATE($C$9, A37), "")</f>
        <v/>
      </c>
      <c r="C37" s="20">
        <f>IF(A37&lt;=$C$8, G36, 0)</f>
        <v/>
      </c>
      <c r="D37" s="20">
        <f>IF(AND(A37&lt;=$C$8, C37&gt;0), IF(A37=$C$8, C37+F37, $G$6), 0)</f>
        <v/>
      </c>
      <c r="E37" s="20">
        <f>IF(AND(A37&lt;=$C$8, C37&gt;0), MIN(C37, D37-F37), 0)</f>
        <v/>
      </c>
      <c r="F37" s="20">
        <f>IF(AND(A37&lt;=$C$8, C37&gt;0), C37*$C$7, 0)</f>
        <v/>
      </c>
      <c r="G37" s="20">
        <f>IF(AND(A37&lt;=$C$8, C37&gt;0), MAX(0, C37-E37), 0)</f>
        <v/>
      </c>
    </row>
    <row r="38" ht="20" customHeight="1">
      <c r="A38" s="15" t="n">
        <v>25</v>
      </c>
      <c r="B38" s="16">
        <f>IF(A38&lt;=$C$8, EDATE($C$9, A38), "")</f>
        <v/>
      </c>
      <c r="C38" s="17">
        <f>IF(A38&lt;=$C$8, G37, 0)</f>
        <v/>
      </c>
      <c r="D38" s="17">
        <f>IF(AND(A38&lt;=$C$8, C38&gt;0), IF(A38=$C$8, C38+F38, $G$6), 0)</f>
        <v/>
      </c>
      <c r="E38" s="17">
        <f>IF(AND(A38&lt;=$C$8, C38&gt;0), MIN(C38, D38-F38), 0)</f>
        <v/>
      </c>
      <c r="F38" s="17">
        <f>IF(AND(A38&lt;=$C$8, C38&gt;0), C38*$C$7, 0)</f>
        <v/>
      </c>
      <c r="G38" s="17">
        <f>IF(AND(A38&lt;=$C$8, C38&gt;0), MAX(0, C38-E38), 0)</f>
        <v/>
      </c>
    </row>
    <row r="39" ht="20" customHeight="1">
      <c r="A39" s="18" t="n">
        <v>26</v>
      </c>
      <c r="B39" s="19">
        <f>IF(A39&lt;=$C$8, EDATE($C$9, A39), "")</f>
        <v/>
      </c>
      <c r="C39" s="20">
        <f>IF(A39&lt;=$C$8, G38, 0)</f>
        <v/>
      </c>
      <c r="D39" s="20">
        <f>IF(AND(A39&lt;=$C$8, C39&gt;0), IF(A39=$C$8, C39+F39, $G$6), 0)</f>
        <v/>
      </c>
      <c r="E39" s="20">
        <f>IF(AND(A39&lt;=$C$8, C39&gt;0), MIN(C39, D39-F39), 0)</f>
        <v/>
      </c>
      <c r="F39" s="20">
        <f>IF(AND(A39&lt;=$C$8, C39&gt;0), C39*$C$7, 0)</f>
        <v/>
      </c>
      <c r="G39" s="20">
        <f>IF(AND(A39&lt;=$C$8, C39&gt;0), MAX(0, C39-E39), 0)</f>
        <v/>
      </c>
    </row>
    <row r="40" ht="20" customHeight="1">
      <c r="A40" s="15" t="n">
        <v>27</v>
      </c>
      <c r="B40" s="16">
        <f>IF(A40&lt;=$C$8, EDATE($C$9, A40), "")</f>
        <v/>
      </c>
      <c r="C40" s="17">
        <f>IF(A40&lt;=$C$8, G39, 0)</f>
        <v/>
      </c>
      <c r="D40" s="17">
        <f>IF(AND(A40&lt;=$C$8, C40&gt;0), IF(A40=$C$8, C40+F40, $G$6), 0)</f>
        <v/>
      </c>
      <c r="E40" s="17">
        <f>IF(AND(A40&lt;=$C$8, C40&gt;0), MIN(C40, D40-F40), 0)</f>
        <v/>
      </c>
      <c r="F40" s="17">
        <f>IF(AND(A40&lt;=$C$8, C40&gt;0), C40*$C$7, 0)</f>
        <v/>
      </c>
      <c r="G40" s="17">
        <f>IF(AND(A40&lt;=$C$8, C40&gt;0), MAX(0, C40-E40), 0)</f>
        <v/>
      </c>
    </row>
    <row r="41" ht="20" customHeight="1">
      <c r="A41" s="18" t="n">
        <v>28</v>
      </c>
      <c r="B41" s="19">
        <f>IF(A41&lt;=$C$8, EDATE($C$9, A41), "")</f>
        <v/>
      </c>
      <c r="C41" s="20">
        <f>IF(A41&lt;=$C$8, G40, 0)</f>
        <v/>
      </c>
      <c r="D41" s="20">
        <f>IF(AND(A41&lt;=$C$8, C41&gt;0), IF(A41=$C$8, C41+F41, $G$6), 0)</f>
        <v/>
      </c>
      <c r="E41" s="20">
        <f>IF(AND(A41&lt;=$C$8, C41&gt;0), MIN(C41, D41-F41), 0)</f>
        <v/>
      </c>
      <c r="F41" s="20">
        <f>IF(AND(A41&lt;=$C$8, C41&gt;0), C41*$C$7, 0)</f>
        <v/>
      </c>
      <c r="G41" s="20">
        <f>IF(AND(A41&lt;=$C$8, C41&gt;0), MAX(0, C41-E41), 0)</f>
        <v/>
      </c>
    </row>
    <row r="42" ht="20" customHeight="1">
      <c r="A42" s="15" t="n">
        <v>29</v>
      </c>
      <c r="B42" s="16">
        <f>IF(A42&lt;=$C$8, EDATE($C$9, A42), "")</f>
        <v/>
      </c>
      <c r="C42" s="17">
        <f>IF(A42&lt;=$C$8, G41, 0)</f>
        <v/>
      </c>
      <c r="D42" s="17">
        <f>IF(AND(A42&lt;=$C$8, C42&gt;0), IF(A42=$C$8, C42+F42, $G$6), 0)</f>
        <v/>
      </c>
      <c r="E42" s="17">
        <f>IF(AND(A42&lt;=$C$8, C42&gt;0), MIN(C42, D42-F42), 0)</f>
        <v/>
      </c>
      <c r="F42" s="17">
        <f>IF(AND(A42&lt;=$C$8, C42&gt;0), C42*$C$7, 0)</f>
        <v/>
      </c>
      <c r="G42" s="17">
        <f>IF(AND(A42&lt;=$C$8, C42&gt;0), MAX(0, C42-E42), 0)</f>
        <v/>
      </c>
    </row>
    <row r="43" ht="20" customHeight="1">
      <c r="A43" s="18" t="n">
        <v>30</v>
      </c>
      <c r="B43" s="19">
        <f>IF(A43&lt;=$C$8, EDATE($C$9, A43), "")</f>
        <v/>
      </c>
      <c r="C43" s="20">
        <f>IF(A43&lt;=$C$8, G42, 0)</f>
        <v/>
      </c>
      <c r="D43" s="20">
        <f>IF(AND(A43&lt;=$C$8, C43&gt;0), IF(A43=$C$8, C43+F43, $G$6), 0)</f>
        <v/>
      </c>
      <c r="E43" s="20">
        <f>IF(AND(A43&lt;=$C$8, C43&gt;0), MIN(C43, D43-F43), 0)</f>
        <v/>
      </c>
      <c r="F43" s="20">
        <f>IF(AND(A43&lt;=$C$8, C43&gt;0), C43*$C$7, 0)</f>
        <v/>
      </c>
      <c r="G43" s="20">
        <f>IF(AND(A43&lt;=$C$8, C43&gt;0), MAX(0, C43-E43), 0)</f>
        <v/>
      </c>
    </row>
    <row r="44" ht="20" customHeight="1">
      <c r="A44" s="15" t="n">
        <v>31</v>
      </c>
      <c r="B44" s="16">
        <f>IF(A44&lt;=$C$8, EDATE($C$9, A44), "")</f>
        <v/>
      </c>
      <c r="C44" s="17">
        <f>IF(A44&lt;=$C$8, G43, 0)</f>
        <v/>
      </c>
      <c r="D44" s="17">
        <f>IF(AND(A44&lt;=$C$8, C44&gt;0), IF(A44=$C$8, C44+F44, $G$6), 0)</f>
        <v/>
      </c>
      <c r="E44" s="17">
        <f>IF(AND(A44&lt;=$C$8, C44&gt;0), MIN(C44, D44-F44), 0)</f>
        <v/>
      </c>
      <c r="F44" s="17">
        <f>IF(AND(A44&lt;=$C$8, C44&gt;0), C44*$C$7, 0)</f>
        <v/>
      </c>
      <c r="G44" s="17">
        <f>IF(AND(A44&lt;=$C$8, C44&gt;0), MAX(0, C44-E44), 0)</f>
        <v/>
      </c>
    </row>
    <row r="45" ht="20" customHeight="1">
      <c r="A45" s="18" t="n">
        <v>32</v>
      </c>
      <c r="B45" s="19">
        <f>IF(A45&lt;=$C$8, EDATE($C$9, A45), "")</f>
        <v/>
      </c>
      <c r="C45" s="20">
        <f>IF(A45&lt;=$C$8, G44, 0)</f>
        <v/>
      </c>
      <c r="D45" s="20">
        <f>IF(AND(A45&lt;=$C$8, C45&gt;0), IF(A45=$C$8, C45+F45, $G$6), 0)</f>
        <v/>
      </c>
      <c r="E45" s="20">
        <f>IF(AND(A45&lt;=$C$8, C45&gt;0), MIN(C45, D45-F45), 0)</f>
        <v/>
      </c>
      <c r="F45" s="20">
        <f>IF(AND(A45&lt;=$C$8, C45&gt;0), C45*$C$7, 0)</f>
        <v/>
      </c>
      <c r="G45" s="20">
        <f>IF(AND(A45&lt;=$C$8, C45&gt;0), MAX(0, C45-E45), 0)</f>
        <v/>
      </c>
    </row>
    <row r="46" ht="20" customHeight="1">
      <c r="A46" s="15" t="n">
        <v>33</v>
      </c>
      <c r="B46" s="16">
        <f>IF(A46&lt;=$C$8, EDATE($C$9, A46), "")</f>
        <v/>
      </c>
      <c r="C46" s="17">
        <f>IF(A46&lt;=$C$8, G45, 0)</f>
        <v/>
      </c>
      <c r="D46" s="17">
        <f>IF(AND(A46&lt;=$C$8, C46&gt;0), IF(A46=$C$8, C46+F46, $G$6), 0)</f>
        <v/>
      </c>
      <c r="E46" s="17">
        <f>IF(AND(A46&lt;=$C$8, C46&gt;0), MIN(C46, D46-F46), 0)</f>
        <v/>
      </c>
      <c r="F46" s="17">
        <f>IF(AND(A46&lt;=$C$8, C46&gt;0), C46*$C$7, 0)</f>
        <v/>
      </c>
      <c r="G46" s="17">
        <f>IF(AND(A46&lt;=$C$8, C46&gt;0), MAX(0, C46-E46), 0)</f>
        <v/>
      </c>
    </row>
    <row r="47" ht="20" customHeight="1">
      <c r="A47" s="18" t="n">
        <v>34</v>
      </c>
      <c r="B47" s="19">
        <f>IF(A47&lt;=$C$8, EDATE($C$9, A47), "")</f>
        <v/>
      </c>
      <c r="C47" s="20">
        <f>IF(A47&lt;=$C$8, G46, 0)</f>
        <v/>
      </c>
      <c r="D47" s="20">
        <f>IF(AND(A47&lt;=$C$8, C47&gt;0), IF(A47=$C$8, C47+F47, $G$6), 0)</f>
        <v/>
      </c>
      <c r="E47" s="20">
        <f>IF(AND(A47&lt;=$C$8, C47&gt;0), MIN(C47, D47-F47), 0)</f>
        <v/>
      </c>
      <c r="F47" s="20">
        <f>IF(AND(A47&lt;=$C$8, C47&gt;0), C47*$C$7, 0)</f>
        <v/>
      </c>
      <c r="G47" s="20">
        <f>IF(AND(A47&lt;=$C$8, C47&gt;0), MAX(0, C47-E47), 0)</f>
        <v/>
      </c>
    </row>
    <row r="48" ht="20" customHeight="1">
      <c r="A48" s="15" t="n">
        <v>35</v>
      </c>
      <c r="B48" s="16">
        <f>IF(A48&lt;=$C$8, EDATE($C$9, A48), "")</f>
        <v/>
      </c>
      <c r="C48" s="17">
        <f>IF(A48&lt;=$C$8, G47, 0)</f>
        <v/>
      </c>
      <c r="D48" s="17">
        <f>IF(AND(A48&lt;=$C$8, C48&gt;0), IF(A48=$C$8, C48+F48, $G$6), 0)</f>
        <v/>
      </c>
      <c r="E48" s="17">
        <f>IF(AND(A48&lt;=$C$8, C48&gt;0), MIN(C48, D48-F48), 0)</f>
        <v/>
      </c>
      <c r="F48" s="17">
        <f>IF(AND(A48&lt;=$C$8, C48&gt;0), C48*$C$7, 0)</f>
        <v/>
      </c>
      <c r="G48" s="17">
        <f>IF(AND(A48&lt;=$C$8, C48&gt;0), MAX(0, C48-E48), 0)</f>
        <v/>
      </c>
    </row>
    <row r="49" ht="20" customHeight="1">
      <c r="A49" s="18" t="n">
        <v>36</v>
      </c>
      <c r="B49" s="19">
        <f>IF(A49&lt;=$C$8, EDATE($C$9, A49), "")</f>
        <v/>
      </c>
      <c r="C49" s="20">
        <f>IF(A49&lt;=$C$8, G48, 0)</f>
        <v/>
      </c>
      <c r="D49" s="20">
        <f>IF(AND(A49&lt;=$C$8, C49&gt;0), IF(A49=$C$8, C49+F49, $G$6), 0)</f>
        <v/>
      </c>
      <c r="E49" s="20">
        <f>IF(AND(A49&lt;=$C$8, C49&gt;0), MIN(C49, D49-F49), 0)</f>
        <v/>
      </c>
      <c r="F49" s="20">
        <f>IF(AND(A49&lt;=$C$8, C49&gt;0), C49*$C$7, 0)</f>
        <v/>
      </c>
      <c r="G49" s="20">
        <f>IF(AND(A49&lt;=$C$8, C49&gt;0), MAX(0, C49-E49), 0)</f>
        <v/>
      </c>
    </row>
    <row r="50" ht="20" customHeight="1">
      <c r="A50" s="15" t="n">
        <v>37</v>
      </c>
      <c r="B50" s="16">
        <f>IF(A50&lt;=$C$8, EDATE($C$9, A50), "")</f>
        <v/>
      </c>
      <c r="C50" s="17">
        <f>IF(A50&lt;=$C$8, G49, 0)</f>
        <v/>
      </c>
      <c r="D50" s="17">
        <f>IF(AND(A50&lt;=$C$8, C50&gt;0), IF(A50=$C$8, C50+F50, $G$6), 0)</f>
        <v/>
      </c>
      <c r="E50" s="17">
        <f>IF(AND(A50&lt;=$C$8, C50&gt;0), MIN(C50, D50-F50), 0)</f>
        <v/>
      </c>
      <c r="F50" s="17">
        <f>IF(AND(A50&lt;=$C$8, C50&gt;0), C50*$C$7, 0)</f>
        <v/>
      </c>
      <c r="G50" s="17">
        <f>IF(AND(A50&lt;=$C$8, C50&gt;0), MAX(0, C50-E50), 0)</f>
        <v/>
      </c>
    </row>
    <row r="51" ht="20" customHeight="1">
      <c r="A51" s="18" t="n">
        <v>38</v>
      </c>
      <c r="B51" s="19">
        <f>IF(A51&lt;=$C$8, EDATE($C$9, A51), "")</f>
        <v/>
      </c>
      <c r="C51" s="20">
        <f>IF(A51&lt;=$C$8, G50, 0)</f>
        <v/>
      </c>
      <c r="D51" s="20">
        <f>IF(AND(A51&lt;=$C$8, C51&gt;0), IF(A51=$C$8, C51+F51, $G$6), 0)</f>
        <v/>
      </c>
      <c r="E51" s="20">
        <f>IF(AND(A51&lt;=$C$8, C51&gt;0), MIN(C51, D51-F51), 0)</f>
        <v/>
      </c>
      <c r="F51" s="20">
        <f>IF(AND(A51&lt;=$C$8, C51&gt;0), C51*$C$7, 0)</f>
        <v/>
      </c>
      <c r="G51" s="20">
        <f>IF(AND(A51&lt;=$C$8, C51&gt;0), MAX(0, C51-E51), 0)</f>
        <v/>
      </c>
    </row>
    <row r="52" ht="20" customHeight="1">
      <c r="A52" s="15" t="n">
        <v>39</v>
      </c>
      <c r="B52" s="16">
        <f>IF(A52&lt;=$C$8, EDATE($C$9, A52), "")</f>
        <v/>
      </c>
      <c r="C52" s="17">
        <f>IF(A52&lt;=$C$8, G51, 0)</f>
        <v/>
      </c>
      <c r="D52" s="17">
        <f>IF(AND(A52&lt;=$C$8, C52&gt;0), IF(A52=$C$8, C52+F52, $G$6), 0)</f>
        <v/>
      </c>
      <c r="E52" s="17">
        <f>IF(AND(A52&lt;=$C$8, C52&gt;0), MIN(C52, D52-F52), 0)</f>
        <v/>
      </c>
      <c r="F52" s="17">
        <f>IF(AND(A52&lt;=$C$8, C52&gt;0), C52*$C$7, 0)</f>
        <v/>
      </c>
      <c r="G52" s="17">
        <f>IF(AND(A52&lt;=$C$8, C52&gt;0), MAX(0, C52-E52), 0)</f>
        <v/>
      </c>
    </row>
    <row r="53" ht="20" customHeight="1">
      <c r="A53" s="18" t="n">
        <v>40</v>
      </c>
      <c r="B53" s="19">
        <f>IF(A53&lt;=$C$8, EDATE($C$9, A53), "")</f>
        <v/>
      </c>
      <c r="C53" s="20">
        <f>IF(A53&lt;=$C$8, G52, 0)</f>
        <v/>
      </c>
      <c r="D53" s="20">
        <f>IF(AND(A53&lt;=$C$8, C53&gt;0), IF(A53=$C$8, C53+F53, $G$6), 0)</f>
        <v/>
      </c>
      <c r="E53" s="20">
        <f>IF(AND(A53&lt;=$C$8, C53&gt;0), MIN(C53, D53-F53), 0)</f>
        <v/>
      </c>
      <c r="F53" s="20">
        <f>IF(AND(A53&lt;=$C$8, C53&gt;0), C53*$C$7, 0)</f>
        <v/>
      </c>
      <c r="G53" s="20">
        <f>IF(AND(A53&lt;=$C$8, C53&gt;0), MAX(0, C53-E53), 0)</f>
        <v/>
      </c>
    </row>
    <row r="54" ht="20" customHeight="1">
      <c r="A54" s="15" t="n">
        <v>41</v>
      </c>
      <c r="B54" s="16">
        <f>IF(A54&lt;=$C$8, EDATE($C$9, A54), "")</f>
        <v/>
      </c>
      <c r="C54" s="17">
        <f>IF(A54&lt;=$C$8, G53, 0)</f>
        <v/>
      </c>
      <c r="D54" s="17">
        <f>IF(AND(A54&lt;=$C$8, C54&gt;0), IF(A54=$C$8, C54+F54, $G$6), 0)</f>
        <v/>
      </c>
      <c r="E54" s="17">
        <f>IF(AND(A54&lt;=$C$8, C54&gt;0), MIN(C54, D54-F54), 0)</f>
        <v/>
      </c>
      <c r="F54" s="17">
        <f>IF(AND(A54&lt;=$C$8, C54&gt;0), C54*$C$7, 0)</f>
        <v/>
      </c>
      <c r="G54" s="17">
        <f>IF(AND(A54&lt;=$C$8, C54&gt;0), MAX(0, C54-E54), 0)</f>
        <v/>
      </c>
    </row>
    <row r="55" ht="20" customHeight="1">
      <c r="A55" s="18" t="n">
        <v>42</v>
      </c>
      <c r="B55" s="19">
        <f>IF(A55&lt;=$C$8, EDATE($C$9, A55), "")</f>
        <v/>
      </c>
      <c r="C55" s="20">
        <f>IF(A55&lt;=$C$8, G54, 0)</f>
        <v/>
      </c>
      <c r="D55" s="20">
        <f>IF(AND(A55&lt;=$C$8, C55&gt;0), IF(A55=$C$8, C55+F55, $G$6), 0)</f>
        <v/>
      </c>
      <c r="E55" s="20">
        <f>IF(AND(A55&lt;=$C$8, C55&gt;0), MIN(C55, D55-F55), 0)</f>
        <v/>
      </c>
      <c r="F55" s="20">
        <f>IF(AND(A55&lt;=$C$8, C55&gt;0), C55*$C$7, 0)</f>
        <v/>
      </c>
      <c r="G55" s="20">
        <f>IF(AND(A55&lt;=$C$8, C55&gt;0), MAX(0, C55-E55), 0)</f>
        <v/>
      </c>
    </row>
    <row r="56" ht="20" customHeight="1">
      <c r="A56" s="15" t="n">
        <v>43</v>
      </c>
      <c r="B56" s="16">
        <f>IF(A56&lt;=$C$8, EDATE($C$9, A56), "")</f>
        <v/>
      </c>
      <c r="C56" s="17">
        <f>IF(A56&lt;=$C$8, G55, 0)</f>
        <v/>
      </c>
      <c r="D56" s="17">
        <f>IF(AND(A56&lt;=$C$8, C56&gt;0), IF(A56=$C$8, C56+F56, $G$6), 0)</f>
        <v/>
      </c>
      <c r="E56" s="17">
        <f>IF(AND(A56&lt;=$C$8, C56&gt;0), MIN(C56, D56-F56), 0)</f>
        <v/>
      </c>
      <c r="F56" s="17">
        <f>IF(AND(A56&lt;=$C$8, C56&gt;0), C56*$C$7, 0)</f>
        <v/>
      </c>
      <c r="G56" s="17">
        <f>IF(AND(A56&lt;=$C$8, C56&gt;0), MAX(0, C56-E56), 0)</f>
        <v/>
      </c>
    </row>
    <row r="57" ht="20" customHeight="1">
      <c r="A57" s="18" t="n">
        <v>44</v>
      </c>
      <c r="B57" s="19">
        <f>IF(A57&lt;=$C$8, EDATE($C$9, A57), "")</f>
        <v/>
      </c>
      <c r="C57" s="20">
        <f>IF(A57&lt;=$C$8, G56, 0)</f>
        <v/>
      </c>
      <c r="D57" s="20">
        <f>IF(AND(A57&lt;=$C$8, C57&gt;0), IF(A57=$C$8, C57+F57, $G$6), 0)</f>
        <v/>
      </c>
      <c r="E57" s="20">
        <f>IF(AND(A57&lt;=$C$8, C57&gt;0), MIN(C57, D57-F57), 0)</f>
        <v/>
      </c>
      <c r="F57" s="20">
        <f>IF(AND(A57&lt;=$C$8, C57&gt;0), C57*$C$7, 0)</f>
        <v/>
      </c>
      <c r="G57" s="20">
        <f>IF(AND(A57&lt;=$C$8, C57&gt;0), MAX(0, C57-E57), 0)</f>
        <v/>
      </c>
    </row>
    <row r="58" ht="20" customHeight="1">
      <c r="A58" s="15" t="n">
        <v>45</v>
      </c>
      <c r="B58" s="16">
        <f>IF(A58&lt;=$C$8, EDATE($C$9, A58), "")</f>
        <v/>
      </c>
      <c r="C58" s="17">
        <f>IF(A58&lt;=$C$8, G57, 0)</f>
        <v/>
      </c>
      <c r="D58" s="17">
        <f>IF(AND(A58&lt;=$C$8, C58&gt;0), IF(A58=$C$8, C58+F58, $G$6), 0)</f>
        <v/>
      </c>
      <c r="E58" s="17">
        <f>IF(AND(A58&lt;=$C$8, C58&gt;0), MIN(C58, D58-F58), 0)</f>
        <v/>
      </c>
      <c r="F58" s="17">
        <f>IF(AND(A58&lt;=$C$8, C58&gt;0), C58*$C$7, 0)</f>
        <v/>
      </c>
      <c r="G58" s="17">
        <f>IF(AND(A58&lt;=$C$8, C58&gt;0), MAX(0, C58-E58), 0)</f>
        <v/>
      </c>
    </row>
    <row r="59" ht="20" customHeight="1">
      <c r="A59" s="18" t="n">
        <v>46</v>
      </c>
      <c r="B59" s="19">
        <f>IF(A59&lt;=$C$8, EDATE($C$9, A59), "")</f>
        <v/>
      </c>
      <c r="C59" s="20">
        <f>IF(A59&lt;=$C$8, G58, 0)</f>
        <v/>
      </c>
      <c r="D59" s="20">
        <f>IF(AND(A59&lt;=$C$8, C59&gt;0), IF(A59=$C$8, C59+F59, $G$6), 0)</f>
        <v/>
      </c>
      <c r="E59" s="20">
        <f>IF(AND(A59&lt;=$C$8, C59&gt;0), MIN(C59, D59-F59), 0)</f>
        <v/>
      </c>
      <c r="F59" s="20">
        <f>IF(AND(A59&lt;=$C$8, C59&gt;0), C59*$C$7, 0)</f>
        <v/>
      </c>
      <c r="G59" s="20">
        <f>IF(AND(A59&lt;=$C$8, C59&gt;0), MAX(0, C59-E59), 0)</f>
        <v/>
      </c>
    </row>
    <row r="60" ht="20" customHeight="1">
      <c r="A60" s="15" t="n">
        <v>47</v>
      </c>
      <c r="B60" s="16">
        <f>IF(A60&lt;=$C$8, EDATE($C$9, A60), "")</f>
        <v/>
      </c>
      <c r="C60" s="17">
        <f>IF(A60&lt;=$C$8, G59, 0)</f>
        <v/>
      </c>
      <c r="D60" s="17">
        <f>IF(AND(A60&lt;=$C$8, C60&gt;0), IF(A60=$C$8, C60+F60, $G$6), 0)</f>
        <v/>
      </c>
      <c r="E60" s="17">
        <f>IF(AND(A60&lt;=$C$8, C60&gt;0), MIN(C60, D60-F60), 0)</f>
        <v/>
      </c>
      <c r="F60" s="17">
        <f>IF(AND(A60&lt;=$C$8, C60&gt;0), C60*$C$7, 0)</f>
        <v/>
      </c>
      <c r="G60" s="17">
        <f>IF(AND(A60&lt;=$C$8, C60&gt;0), MAX(0, C60-E60), 0)</f>
        <v/>
      </c>
    </row>
    <row r="61" ht="20" customHeight="1">
      <c r="A61" s="18" t="n">
        <v>48</v>
      </c>
      <c r="B61" s="19">
        <f>IF(A61&lt;=$C$8, EDATE($C$9, A61), "")</f>
        <v/>
      </c>
      <c r="C61" s="20">
        <f>IF(A61&lt;=$C$8, G60, 0)</f>
        <v/>
      </c>
      <c r="D61" s="20">
        <f>IF(AND(A61&lt;=$C$8, C61&gt;0), IF(A61=$C$8, C61+F61, $G$6), 0)</f>
        <v/>
      </c>
      <c r="E61" s="20">
        <f>IF(AND(A61&lt;=$C$8, C61&gt;0), MIN(C61, D61-F61), 0)</f>
        <v/>
      </c>
      <c r="F61" s="20">
        <f>IF(AND(A61&lt;=$C$8, C61&gt;0), C61*$C$7, 0)</f>
        <v/>
      </c>
      <c r="G61" s="20">
        <f>IF(AND(A61&lt;=$C$8, C61&gt;0), MAX(0, C61-E61), 0)</f>
        <v/>
      </c>
    </row>
    <row r="62" ht="20" customHeight="1">
      <c r="A62" s="15" t="n">
        <v>49</v>
      </c>
      <c r="B62" s="16">
        <f>IF(A62&lt;=$C$8, EDATE($C$9, A62), "")</f>
        <v/>
      </c>
      <c r="C62" s="17">
        <f>IF(A62&lt;=$C$8, G61, 0)</f>
        <v/>
      </c>
      <c r="D62" s="17">
        <f>IF(AND(A62&lt;=$C$8, C62&gt;0), IF(A62=$C$8, C62+F62, $G$6), 0)</f>
        <v/>
      </c>
      <c r="E62" s="17">
        <f>IF(AND(A62&lt;=$C$8, C62&gt;0), MIN(C62, D62-F62), 0)</f>
        <v/>
      </c>
      <c r="F62" s="17">
        <f>IF(AND(A62&lt;=$C$8, C62&gt;0), C62*$C$7, 0)</f>
        <v/>
      </c>
      <c r="G62" s="17">
        <f>IF(AND(A62&lt;=$C$8, C62&gt;0), MAX(0, C62-E62), 0)</f>
        <v/>
      </c>
    </row>
    <row r="63" ht="20" customHeight="1">
      <c r="A63" s="18" t="n">
        <v>50</v>
      </c>
      <c r="B63" s="19">
        <f>IF(A63&lt;=$C$8, EDATE($C$9, A63), "")</f>
        <v/>
      </c>
      <c r="C63" s="20">
        <f>IF(A63&lt;=$C$8, G62, 0)</f>
        <v/>
      </c>
      <c r="D63" s="20">
        <f>IF(AND(A63&lt;=$C$8, C63&gt;0), IF(A63=$C$8, C63+F63, $G$6), 0)</f>
        <v/>
      </c>
      <c r="E63" s="20">
        <f>IF(AND(A63&lt;=$C$8, C63&gt;0), MIN(C63, D63-F63), 0)</f>
        <v/>
      </c>
      <c r="F63" s="20">
        <f>IF(AND(A63&lt;=$C$8, C63&gt;0), C63*$C$7, 0)</f>
        <v/>
      </c>
      <c r="G63" s="20">
        <f>IF(AND(A63&lt;=$C$8, C63&gt;0), MAX(0, C63-E63), 0)</f>
        <v/>
      </c>
    </row>
    <row r="64" ht="20" customHeight="1">
      <c r="A64" s="15" t="n">
        <v>51</v>
      </c>
      <c r="B64" s="16">
        <f>IF(A64&lt;=$C$8, EDATE($C$9, A64), "")</f>
        <v/>
      </c>
      <c r="C64" s="17">
        <f>IF(A64&lt;=$C$8, G63, 0)</f>
        <v/>
      </c>
      <c r="D64" s="17">
        <f>IF(AND(A64&lt;=$C$8, C64&gt;0), IF(A64=$C$8, C64+F64, $G$6), 0)</f>
        <v/>
      </c>
      <c r="E64" s="17">
        <f>IF(AND(A64&lt;=$C$8, C64&gt;0), MIN(C64, D64-F64), 0)</f>
        <v/>
      </c>
      <c r="F64" s="17">
        <f>IF(AND(A64&lt;=$C$8, C64&gt;0), C64*$C$7, 0)</f>
        <v/>
      </c>
      <c r="G64" s="17">
        <f>IF(AND(A64&lt;=$C$8, C64&gt;0), MAX(0, C64-E64), 0)</f>
        <v/>
      </c>
    </row>
    <row r="65" ht="20" customHeight="1">
      <c r="A65" s="18" t="n">
        <v>52</v>
      </c>
      <c r="B65" s="19">
        <f>IF(A65&lt;=$C$8, EDATE($C$9, A65), "")</f>
        <v/>
      </c>
      <c r="C65" s="20">
        <f>IF(A65&lt;=$C$8, G64, 0)</f>
        <v/>
      </c>
      <c r="D65" s="20">
        <f>IF(AND(A65&lt;=$C$8, C65&gt;0), IF(A65=$C$8, C65+F65, $G$6), 0)</f>
        <v/>
      </c>
      <c r="E65" s="20">
        <f>IF(AND(A65&lt;=$C$8, C65&gt;0), MIN(C65, D65-F65), 0)</f>
        <v/>
      </c>
      <c r="F65" s="20">
        <f>IF(AND(A65&lt;=$C$8, C65&gt;0), C65*$C$7, 0)</f>
        <v/>
      </c>
      <c r="G65" s="20">
        <f>IF(AND(A65&lt;=$C$8, C65&gt;0), MAX(0, C65-E65), 0)</f>
        <v/>
      </c>
    </row>
    <row r="66" ht="20" customHeight="1">
      <c r="A66" s="15" t="n">
        <v>53</v>
      </c>
      <c r="B66" s="16">
        <f>IF(A66&lt;=$C$8, EDATE($C$9, A66), "")</f>
        <v/>
      </c>
      <c r="C66" s="17">
        <f>IF(A66&lt;=$C$8, G65, 0)</f>
        <v/>
      </c>
      <c r="D66" s="17">
        <f>IF(AND(A66&lt;=$C$8, C66&gt;0), IF(A66=$C$8, C66+F66, $G$6), 0)</f>
        <v/>
      </c>
      <c r="E66" s="17">
        <f>IF(AND(A66&lt;=$C$8, C66&gt;0), MIN(C66, D66-F66), 0)</f>
        <v/>
      </c>
      <c r="F66" s="17">
        <f>IF(AND(A66&lt;=$C$8, C66&gt;0), C66*$C$7, 0)</f>
        <v/>
      </c>
      <c r="G66" s="17">
        <f>IF(AND(A66&lt;=$C$8, C66&gt;0), MAX(0, C66-E66), 0)</f>
        <v/>
      </c>
    </row>
    <row r="67" ht="20" customHeight="1">
      <c r="A67" s="18" t="n">
        <v>54</v>
      </c>
      <c r="B67" s="19">
        <f>IF(A67&lt;=$C$8, EDATE($C$9, A67), "")</f>
        <v/>
      </c>
      <c r="C67" s="20">
        <f>IF(A67&lt;=$C$8, G66, 0)</f>
        <v/>
      </c>
      <c r="D67" s="20">
        <f>IF(AND(A67&lt;=$C$8, C67&gt;0), IF(A67=$C$8, C67+F67, $G$6), 0)</f>
        <v/>
      </c>
      <c r="E67" s="20">
        <f>IF(AND(A67&lt;=$C$8, C67&gt;0), MIN(C67, D67-F67), 0)</f>
        <v/>
      </c>
      <c r="F67" s="20">
        <f>IF(AND(A67&lt;=$C$8, C67&gt;0), C67*$C$7, 0)</f>
        <v/>
      </c>
      <c r="G67" s="20">
        <f>IF(AND(A67&lt;=$C$8, C67&gt;0), MAX(0, C67-E67), 0)</f>
        <v/>
      </c>
    </row>
    <row r="68" ht="20" customHeight="1">
      <c r="A68" s="15" t="n">
        <v>55</v>
      </c>
      <c r="B68" s="16">
        <f>IF(A68&lt;=$C$8, EDATE($C$9, A68), "")</f>
        <v/>
      </c>
      <c r="C68" s="17">
        <f>IF(A68&lt;=$C$8, G67, 0)</f>
        <v/>
      </c>
      <c r="D68" s="17">
        <f>IF(AND(A68&lt;=$C$8, C68&gt;0), IF(A68=$C$8, C68+F68, $G$6), 0)</f>
        <v/>
      </c>
      <c r="E68" s="17">
        <f>IF(AND(A68&lt;=$C$8, C68&gt;0), MIN(C68, D68-F68), 0)</f>
        <v/>
      </c>
      <c r="F68" s="17">
        <f>IF(AND(A68&lt;=$C$8, C68&gt;0), C68*$C$7, 0)</f>
        <v/>
      </c>
      <c r="G68" s="17">
        <f>IF(AND(A68&lt;=$C$8, C68&gt;0), MAX(0, C68-E68), 0)</f>
        <v/>
      </c>
    </row>
    <row r="69" ht="20" customHeight="1">
      <c r="A69" s="18" t="n">
        <v>56</v>
      </c>
      <c r="B69" s="19">
        <f>IF(A69&lt;=$C$8, EDATE($C$9, A69), "")</f>
        <v/>
      </c>
      <c r="C69" s="20">
        <f>IF(A69&lt;=$C$8, G68, 0)</f>
        <v/>
      </c>
      <c r="D69" s="20">
        <f>IF(AND(A69&lt;=$C$8, C69&gt;0), IF(A69=$C$8, C69+F69, $G$6), 0)</f>
        <v/>
      </c>
      <c r="E69" s="20">
        <f>IF(AND(A69&lt;=$C$8, C69&gt;0), MIN(C69, D69-F69), 0)</f>
        <v/>
      </c>
      <c r="F69" s="20">
        <f>IF(AND(A69&lt;=$C$8, C69&gt;0), C69*$C$7, 0)</f>
        <v/>
      </c>
      <c r="G69" s="20">
        <f>IF(AND(A69&lt;=$C$8, C69&gt;0), MAX(0, C69-E69), 0)</f>
        <v/>
      </c>
    </row>
    <row r="70" ht="20" customHeight="1">
      <c r="A70" s="15" t="n">
        <v>57</v>
      </c>
      <c r="B70" s="16">
        <f>IF(A70&lt;=$C$8, EDATE($C$9, A70), "")</f>
        <v/>
      </c>
      <c r="C70" s="17">
        <f>IF(A70&lt;=$C$8, G69, 0)</f>
        <v/>
      </c>
      <c r="D70" s="17">
        <f>IF(AND(A70&lt;=$C$8, C70&gt;0), IF(A70=$C$8, C70+F70, $G$6), 0)</f>
        <v/>
      </c>
      <c r="E70" s="17">
        <f>IF(AND(A70&lt;=$C$8, C70&gt;0), MIN(C70, D70-F70), 0)</f>
        <v/>
      </c>
      <c r="F70" s="17">
        <f>IF(AND(A70&lt;=$C$8, C70&gt;0), C70*$C$7, 0)</f>
        <v/>
      </c>
      <c r="G70" s="17">
        <f>IF(AND(A70&lt;=$C$8, C70&gt;0), MAX(0, C70-E70), 0)</f>
        <v/>
      </c>
    </row>
    <row r="71" ht="20" customHeight="1">
      <c r="A71" s="18" t="n">
        <v>58</v>
      </c>
      <c r="B71" s="19">
        <f>IF(A71&lt;=$C$8, EDATE($C$9, A71), "")</f>
        <v/>
      </c>
      <c r="C71" s="20">
        <f>IF(A71&lt;=$C$8, G70, 0)</f>
        <v/>
      </c>
      <c r="D71" s="20">
        <f>IF(AND(A71&lt;=$C$8, C71&gt;0), IF(A71=$C$8, C71+F71, $G$6), 0)</f>
        <v/>
      </c>
      <c r="E71" s="20">
        <f>IF(AND(A71&lt;=$C$8, C71&gt;0), MIN(C71, D71-F71), 0)</f>
        <v/>
      </c>
      <c r="F71" s="20">
        <f>IF(AND(A71&lt;=$C$8, C71&gt;0), C71*$C$7, 0)</f>
        <v/>
      </c>
      <c r="G71" s="20">
        <f>IF(AND(A71&lt;=$C$8, C71&gt;0), MAX(0, C71-E71), 0)</f>
        <v/>
      </c>
    </row>
    <row r="72" ht="20" customHeight="1">
      <c r="A72" s="15" t="n">
        <v>59</v>
      </c>
      <c r="B72" s="16">
        <f>IF(A72&lt;=$C$8, EDATE($C$9, A72), "")</f>
        <v/>
      </c>
      <c r="C72" s="17">
        <f>IF(A72&lt;=$C$8, G71, 0)</f>
        <v/>
      </c>
      <c r="D72" s="17">
        <f>IF(AND(A72&lt;=$C$8, C72&gt;0), IF(A72=$C$8, C72+F72, $G$6), 0)</f>
        <v/>
      </c>
      <c r="E72" s="17">
        <f>IF(AND(A72&lt;=$C$8, C72&gt;0), MIN(C72, D72-F72), 0)</f>
        <v/>
      </c>
      <c r="F72" s="17">
        <f>IF(AND(A72&lt;=$C$8, C72&gt;0), C72*$C$7, 0)</f>
        <v/>
      </c>
      <c r="G72" s="17">
        <f>IF(AND(A72&lt;=$C$8, C72&gt;0), MAX(0, C72-E72), 0)</f>
        <v/>
      </c>
    </row>
    <row r="73" ht="20" customHeight="1">
      <c r="A73" s="18" t="n">
        <v>60</v>
      </c>
      <c r="B73" s="19">
        <f>IF(A73&lt;=$C$8, EDATE($C$9, A73), "")</f>
        <v/>
      </c>
      <c r="C73" s="20">
        <f>IF(A73&lt;=$C$8, G72, 0)</f>
        <v/>
      </c>
      <c r="D73" s="20">
        <f>IF(AND(A73&lt;=$C$8, C73&gt;0), IF(A73=$C$8, C73+F73, $G$6), 0)</f>
        <v/>
      </c>
      <c r="E73" s="20">
        <f>IF(AND(A73&lt;=$C$8, C73&gt;0), MIN(C73, D73-F73), 0)</f>
        <v/>
      </c>
      <c r="F73" s="20">
        <f>IF(AND(A73&lt;=$C$8, C73&gt;0), C73*$C$7, 0)</f>
        <v/>
      </c>
      <c r="G73" s="20">
        <f>IF(AND(A73&lt;=$C$8, C73&gt;0), MAX(0, C73-E73), 0)</f>
        <v/>
      </c>
    </row>
    <row r="74" ht="20" customHeight="1">
      <c r="A74" s="15" t="n">
        <v>61</v>
      </c>
      <c r="B74" s="16">
        <f>IF(A74&lt;=$C$8, EDATE($C$9, A74), "")</f>
        <v/>
      </c>
      <c r="C74" s="17">
        <f>IF(A74&lt;=$C$8, G73, 0)</f>
        <v/>
      </c>
      <c r="D74" s="17">
        <f>IF(AND(A74&lt;=$C$8, C74&gt;0), IF(A74=$C$8, C74+F74, $G$6), 0)</f>
        <v/>
      </c>
      <c r="E74" s="17">
        <f>IF(AND(A74&lt;=$C$8, C74&gt;0), MIN(C74, D74-F74), 0)</f>
        <v/>
      </c>
      <c r="F74" s="17">
        <f>IF(AND(A74&lt;=$C$8, C74&gt;0), C74*$C$7, 0)</f>
        <v/>
      </c>
      <c r="G74" s="17">
        <f>IF(AND(A74&lt;=$C$8, C74&gt;0), MAX(0, C74-E74), 0)</f>
        <v/>
      </c>
    </row>
    <row r="75" ht="20" customHeight="1">
      <c r="A75" s="18" t="n">
        <v>62</v>
      </c>
      <c r="B75" s="19">
        <f>IF(A75&lt;=$C$8, EDATE($C$9, A75), "")</f>
        <v/>
      </c>
      <c r="C75" s="20">
        <f>IF(A75&lt;=$C$8, G74, 0)</f>
        <v/>
      </c>
      <c r="D75" s="20">
        <f>IF(AND(A75&lt;=$C$8, C75&gt;0), IF(A75=$C$8, C75+F75, $G$6), 0)</f>
        <v/>
      </c>
      <c r="E75" s="20">
        <f>IF(AND(A75&lt;=$C$8, C75&gt;0), MIN(C75, D75-F75), 0)</f>
        <v/>
      </c>
      <c r="F75" s="20">
        <f>IF(AND(A75&lt;=$C$8, C75&gt;0), C75*$C$7, 0)</f>
        <v/>
      </c>
      <c r="G75" s="20">
        <f>IF(AND(A75&lt;=$C$8, C75&gt;0), MAX(0, C75-E75), 0)</f>
        <v/>
      </c>
    </row>
    <row r="76" ht="20" customHeight="1">
      <c r="A76" s="15" t="n">
        <v>63</v>
      </c>
      <c r="B76" s="16">
        <f>IF(A76&lt;=$C$8, EDATE($C$9, A76), "")</f>
        <v/>
      </c>
      <c r="C76" s="17">
        <f>IF(A76&lt;=$C$8, G75, 0)</f>
        <v/>
      </c>
      <c r="D76" s="17">
        <f>IF(AND(A76&lt;=$C$8, C76&gt;0), IF(A76=$C$8, C76+F76, $G$6), 0)</f>
        <v/>
      </c>
      <c r="E76" s="17">
        <f>IF(AND(A76&lt;=$C$8, C76&gt;0), MIN(C76, D76-F76), 0)</f>
        <v/>
      </c>
      <c r="F76" s="17">
        <f>IF(AND(A76&lt;=$C$8, C76&gt;0), C76*$C$7, 0)</f>
        <v/>
      </c>
      <c r="G76" s="17">
        <f>IF(AND(A76&lt;=$C$8, C76&gt;0), MAX(0, C76-E76), 0)</f>
        <v/>
      </c>
    </row>
    <row r="77" ht="20" customHeight="1">
      <c r="A77" s="18" t="n">
        <v>64</v>
      </c>
      <c r="B77" s="19">
        <f>IF(A77&lt;=$C$8, EDATE($C$9, A77), "")</f>
        <v/>
      </c>
      <c r="C77" s="20">
        <f>IF(A77&lt;=$C$8, G76, 0)</f>
        <v/>
      </c>
      <c r="D77" s="20">
        <f>IF(AND(A77&lt;=$C$8, C77&gt;0), IF(A77=$C$8, C77+F77, $G$6), 0)</f>
        <v/>
      </c>
      <c r="E77" s="20">
        <f>IF(AND(A77&lt;=$C$8, C77&gt;0), MIN(C77, D77-F77), 0)</f>
        <v/>
      </c>
      <c r="F77" s="20">
        <f>IF(AND(A77&lt;=$C$8, C77&gt;0), C77*$C$7, 0)</f>
        <v/>
      </c>
      <c r="G77" s="20">
        <f>IF(AND(A77&lt;=$C$8, C77&gt;0), MAX(0, C77-E77), 0)</f>
        <v/>
      </c>
    </row>
    <row r="78" ht="20" customHeight="1">
      <c r="A78" s="15" t="n">
        <v>65</v>
      </c>
      <c r="B78" s="16">
        <f>IF(A78&lt;=$C$8, EDATE($C$9, A78), "")</f>
        <v/>
      </c>
      <c r="C78" s="17">
        <f>IF(A78&lt;=$C$8, G77, 0)</f>
        <v/>
      </c>
      <c r="D78" s="17">
        <f>IF(AND(A78&lt;=$C$8, C78&gt;0), IF(A78=$C$8, C78+F78, $G$6), 0)</f>
        <v/>
      </c>
      <c r="E78" s="17">
        <f>IF(AND(A78&lt;=$C$8, C78&gt;0), MIN(C78, D78-F78), 0)</f>
        <v/>
      </c>
      <c r="F78" s="17">
        <f>IF(AND(A78&lt;=$C$8, C78&gt;0), C78*$C$7, 0)</f>
        <v/>
      </c>
      <c r="G78" s="17">
        <f>IF(AND(A78&lt;=$C$8, C78&gt;0), MAX(0, C78-E78), 0)</f>
        <v/>
      </c>
    </row>
    <row r="79" ht="20" customHeight="1">
      <c r="A79" s="18" t="n">
        <v>66</v>
      </c>
      <c r="B79" s="19">
        <f>IF(A79&lt;=$C$8, EDATE($C$9, A79), "")</f>
        <v/>
      </c>
      <c r="C79" s="20">
        <f>IF(A79&lt;=$C$8, G78, 0)</f>
        <v/>
      </c>
      <c r="D79" s="20">
        <f>IF(AND(A79&lt;=$C$8, C79&gt;0), IF(A79=$C$8, C79+F79, $G$6), 0)</f>
        <v/>
      </c>
      <c r="E79" s="20">
        <f>IF(AND(A79&lt;=$C$8, C79&gt;0), MIN(C79, D79-F79), 0)</f>
        <v/>
      </c>
      <c r="F79" s="20">
        <f>IF(AND(A79&lt;=$C$8, C79&gt;0), C79*$C$7, 0)</f>
        <v/>
      </c>
      <c r="G79" s="20">
        <f>IF(AND(A79&lt;=$C$8, C79&gt;0), MAX(0, C79-E79), 0)</f>
        <v/>
      </c>
    </row>
    <row r="80" ht="20" customHeight="1">
      <c r="A80" s="15" t="n">
        <v>67</v>
      </c>
      <c r="B80" s="16">
        <f>IF(A80&lt;=$C$8, EDATE($C$9, A80), "")</f>
        <v/>
      </c>
      <c r="C80" s="17">
        <f>IF(A80&lt;=$C$8, G79, 0)</f>
        <v/>
      </c>
      <c r="D80" s="17">
        <f>IF(AND(A80&lt;=$C$8, C80&gt;0), IF(A80=$C$8, C80+F80, $G$6), 0)</f>
        <v/>
      </c>
      <c r="E80" s="17">
        <f>IF(AND(A80&lt;=$C$8, C80&gt;0), MIN(C80, D80-F80), 0)</f>
        <v/>
      </c>
      <c r="F80" s="17">
        <f>IF(AND(A80&lt;=$C$8, C80&gt;0), C80*$C$7, 0)</f>
        <v/>
      </c>
      <c r="G80" s="17">
        <f>IF(AND(A80&lt;=$C$8, C80&gt;0), MAX(0, C80-E80), 0)</f>
        <v/>
      </c>
    </row>
    <row r="81" ht="20" customHeight="1">
      <c r="A81" s="18" t="n">
        <v>68</v>
      </c>
      <c r="B81" s="19">
        <f>IF(A81&lt;=$C$8, EDATE($C$9, A81), "")</f>
        <v/>
      </c>
      <c r="C81" s="20">
        <f>IF(A81&lt;=$C$8, G80, 0)</f>
        <v/>
      </c>
      <c r="D81" s="20">
        <f>IF(AND(A81&lt;=$C$8, C81&gt;0), IF(A81=$C$8, C81+F81, $G$6), 0)</f>
        <v/>
      </c>
      <c r="E81" s="20">
        <f>IF(AND(A81&lt;=$C$8, C81&gt;0), MIN(C81, D81-F81), 0)</f>
        <v/>
      </c>
      <c r="F81" s="20">
        <f>IF(AND(A81&lt;=$C$8, C81&gt;0), C81*$C$7, 0)</f>
        <v/>
      </c>
      <c r="G81" s="20">
        <f>IF(AND(A81&lt;=$C$8, C81&gt;0), MAX(0, C81-E81), 0)</f>
        <v/>
      </c>
    </row>
    <row r="82" ht="20" customHeight="1">
      <c r="A82" s="15" t="n">
        <v>69</v>
      </c>
      <c r="B82" s="16">
        <f>IF(A82&lt;=$C$8, EDATE($C$9, A82), "")</f>
        <v/>
      </c>
      <c r="C82" s="17">
        <f>IF(A82&lt;=$C$8, G81, 0)</f>
        <v/>
      </c>
      <c r="D82" s="17">
        <f>IF(AND(A82&lt;=$C$8, C82&gt;0), IF(A82=$C$8, C82+F82, $G$6), 0)</f>
        <v/>
      </c>
      <c r="E82" s="17">
        <f>IF(AND(A82&lt;=$C$8, C82&gt;0), MIN(C82, D82-F82), 0)</f>
        <v/>
      </c>
      <c r="F82" s="17">
        <f>IF(AND(A82&lt;=$C$8, C82&gt;0), C82*$C$7, 0)</f>
        <v/>
      </c>
      <c r="G82" s="17">
        <f>IF(AND(A82&lt;=$C$8, C82&gt;0), MAX(0, C82-E82), 0)</f>
        <v/>
      </c>
    </row>
    <row r="83" ht="20" customHeight="1">
      <c r="A83" s="18" t="n">
        <v>70</v>
      </c>
      <c r="B83" s="19">
        <f>IF(A83&lt;=$C$8, EDATE($C$9, A83), "")</f>
        <v/>
      </c>
      <c r="C83" s="20">
        <f>IF(A83&lt;=$C$8, G82, 0)</f>
        <v/>
      </c>
      <c r="D83" s="20">
        <f>IF(AND(A83&lt;=$C$8, C83&gt;0), IF(A83=$C$8, C83+F83, $G$6), 0)</f>
        <v/>
      </c>
      <c r="E83" s="20">
        <f>IF(AND(A83&lt;=$C$8, C83&gt;0), MIN(C83, D83-F83), 0)</f>
        <v/>
      </c>
      <c r="F83" s="20">
        <f>IF(AND(A83&lt;=$C$8, C83&gt;0), C83*$C$7, 0)</f>
        <v/>
      </c>
      <c r="G83" s="20">
        <f>IF(AND(A83&lt;=$C$8, C83&gt;0), MAX(0, C83-E83), 0)</f>
        <v/>
      </c>
    </row>
    <row r="84" ht="20" customHeight="1">
      <c r="A84" s="15" t="n">
        <v>71</v>
      </c>
      <c r="B84" s="16">
        <f>IF(A84&lt;=$C$8, EDATE($C$9, A84), "")</f>
        <v/>
      </c>
      <c r="C84" s="17">
        <f>IF(A84&lt;=$C$8, G83, 0)</f>
        <v/>
      </c>
      <c r="D84" s="17">
        <f>IF(AND(A84&lt;=$C$8, C84&gt;0), IF(A84=$C$8, C84+F84, $G$6), 0)</f>
        <v/>
      </c>
      <c r="E84" s="17">
        <f>IF(AND(A84&lt;=$C$8, C84&gt;0), MIN(C84, D84-F84), 0)</f>
        <v/>
      </c>
      <c r="F84" s="17">
        <f>IF(AND(A84&lt;=$C$8, C84&gt;0), C84*$C$7, 0)</f>
        <v/>
      </c>
      <c r="G84" s="17">
        <f>IF(AND(A84&lt;=$C$8, C84&gt;0), MAX(0, C84-E84), 0)</f>
        <v/>
      </c>
    </row>
    <row r="85" ht="20" customHeight="1">
      <c r="A85" s="18" t="n">
        <v>72</v>
      </c>
      <c r="B85" s="19">
        <f>IF(A85&lt;=$C$8, EDATE($C$9, A85), "")</f>
        <v/>
      </c>
      <c r="C85" s="20">
        <f>IF(A85&lt;=$C$8, G84, 0)</f>
        <v/>
      </c>
      <c r="D85" s="20">
        <f>IF(AND(A85&lt;=$C$8, C85&gt;0), IF(A85=$C$8, C85+F85, $G$6), 0)</f>
        <v/>
      </c>
      <c r="E85" s="20">
        <f>IF(AND(A85&lt;=$C$8, C85&gt;0), MIN(C85, D85-F85), 0)</f>
        <v/>
      </c>
      <c r="F85" s="20">
        <f>IF(AND(A85&lt;=$C$8, C85&gt;0), C85*$C$7, 0)</f>
        <v/>
      </c>
      <c r="G85" s="20">
        <f>IF(AND(A85&lt;=$C$8, C85&gt;0), MAX(0, C85-E85), 0)</f>
        <v/>
      </c>
    </row>
    <row r="86" ht="20" customHeight="1">
      <c r="A86" s="15" t="n">
        <v>73</v>
      </c>
      <c r="B86" s="16">
        <f>IF(A86&lt;=$C$8, EDATE($C$9, A86), "")</f>
        <v/>
      </c>
      <c r="C86" s="17">
        <f>IF(A86&lt;=$C$8, G85, 0)</f>
        <v/>
      </c>
      <c r="D86" s="17">
        <f>IF(AND(A86&lt;=$C$8, C86&gt;0), IF(A86=$C$8, C86+F86, $G$6), 0)</f>
        <v/>
      </c>
      <c r="E86" s="17">
        <f>IF(AND(A86&lt;=$C$8, C86&gt;0), MIN(C86, D86-F86), 0)</f>
        <v/>
      </c>
      <c r="F86" s="17">
        <f>IF(AND(A86&lt;=$C$8, C86&gt;0), C86*$C$7, 0)</f>
        <v/>
      </c>
      <c r="G86" s="17">
        <f>IF(AND(A86&lt;=$C$8, C86&gt;0), MAX(0, C86-E86), 0)</f>
        <v/>
      </c>
    </row>
    <row r="87" ht="20" customHeight="1">
      <c r="A87" s="18" t="n">
        <v>74</v>
      </c>
      <c r="B87" s="19">
        <f>IF(A87&lt;=$C$8, EDATE($C$9, A87), "")</f>
        <v/>
      </c>
      <c r="C87" s="20">
        <f>IF(A87&lt;=$C$8, G86, 0)</f>
        <v/>
      </c>
      <c r="D87" s="20">
        <f>IF(AND(A87&lt;=$C$8, C87&gt;0), IF(A87=$C$8, C87+F87, $G$6), 0)</f>
        <v/>
      </c>
      <c r="E87" s="20">
        <f>IF(AND(A87&lt;=$C$8, C87&gt;0), MIN(C87, D87-F87), 0)</f>
        <v/>
      </c>
      <c r="F87" s="20">
        <f>IF(AND(A87&lt;=$C$8, C87&gt;0), C87*$C$7, 0)</f>
        <v/>
      </c>
      <c r="G87" s="20">
        <f>IF(AND(A87&lt;=$C$8, C87&gt;0), MAX(0, C87-E87), 0)</f>
        <v/>
      </c>
    </row>
    <row r="88" ht="20" customHeight="1">
      <c r="A88" s="15" t="n">
        <v>75</v>
      </c>
      <c r="B88" s="16">
        <f>IF(A88&lt;=$C$8, EDATE($C$9, A88), "")</f>
        <v/>
      </c>
      <c r="C88" s="17">
        <f>IF(A88&lt;=$C$8, G87, 0)</f>
        <v/>
      </c>
      <c r="D88" s="17">
        <f>IF(AND(A88&lt;=$C$8, C88&gt;0), IF(A88=$C$8, C88+F88, $G$6), 0)</f>
        <v/>
      </c>
      <c r="E88" s="17">
        <f>IF(AND(A88&lt;=$C$8, C88&gt;0), MIN(C88, D88-F88), 0)</f>
        <v/>
      </c>
      <c r="F88" s="17">
        <f>IF(AND(A88&lt;=$C$8, C88&gt;0), C88*$C$7, 0)</f>
        <v/>
      </c>
      <c r="G88" s="17">
        <f>IF(AND(A88&lt;=$C$8, C88&gt;0), MAX(0, C88-E88), 0)</f>
        <v/>
      </c>
    </row>
    <row r="89" ht="20" customHeight="1">
      <c r="A89" s="18" t="n">
        <v>76</v>
      </c>
      <c r="B89" s="19">
        <f>IF(A89&lt;=$C$8, EDATE($C$9, A89), "")</f>
        <v/>
      </c>
      <c r="C89" s="20">
        <f>IF(A89&lt;=$C$8, G88, 0)</f>
        <v/>
      </c>
      <c r="D89" s="20">
        <f>IF(AND(A89&lt;=$C$8, C89&gt;0), IF(A89=$C$8, C89+F89, $G$6), 0)</f>
        <v/>
      </c>
      <c r="E89" s="20">
        <f>IF(AND(A89&lt;=$C$8, C89&gt;0), MIN(C89, D89-F89), 0)</f>
        <v/>
      </c>
      <c r="F89" s="20">
        <f>IF(AND(A89&lt;=$C$8, C89&gt;0), C89*$C$7, 0)</f>
        <v/>
      </c>
      <c r="G89" s="20">
        <f>IF(AND(A89&lt;=$C$8, C89&gt;0), MAX(0, C89-E89), 0)</f>
        <v/>
      </c>
    </row>
    <row r="90" ht="20" customHeight="1">
      <c r="A90" s="15" t="n">
        <v>77</v>
      </c>
      <c r="B90" s="16">
        <f>IF(A90&lt;=$C$8, EDATE($C$9, A90), "")</f>
        <v/>
      </c>
      <c r="C90" s="17">
        <f>IF(A90&lt;=$C$8, G89, 0)</f>
        <v/>
      </c>
      <c r="D90" s="17">
        <f>IF(AND(A90&lt;=$C$8, C90&gt;0), IF(A90=$C$8, C90+F90, $G$6), 0)</f>
        <v/>
      </c>
      <c r="E90" s="17">
        <f>IF(AND(A90&lt;=$C$8, C90&gt;0), MIN(C90, D90-F90), 0)</f>
        <v/>
      </c>
      <c r="F90" s="17">
        <f>IF(AND(A90&lt;=$C$8, C90&gt;0), C90*$C$7, 0)</f>
        <v/>
      </c>
      <c r="G90" s="17">
        <f>IF(AND(A90&lt;=$C$8, C90&gt;0), MAX(0, C90-E90), 0)</f>
        <v/>
      </c>
    </row>
    <row r="91" ht="20" customHeight="1">
      <c r="A91" s="18" t="n">
        <v>78</v>
      </c>
      <c r="B91" s="19">
        <f>IF(A91&lt;=$C$8, EDATE($C$9, A91), "")</f>
        <v/>
      </c>
      <c r="C91" s="20">
        <f>IF(A91&lt;=$C$8, G90, 0)</f>
        <v/>
      </c>
      <c r="D91" s="20">
        <f>IF(AND(A91&lt;=$C$8, C91&gt;0), IF(A91=$C$8, C91+F91, $G$6), 0)</f>
        <v/>
      </c>
      <c r="E91" s="20">
        <f>IF(AND(A91&lt;=$C$8, C91&gt;0), MIN(C91, D91-F91), 0)</f>
        <v/>
      </c>
      <c r="F91" s="20">
        <f>IF(AND(A91&lt;=$C$8, C91&gt;0), C91*$C$7, 0)</f>
        <v/>
      </c>
      <c r="G91" s="20">
        <f>IF(AND(A91&lt;=$C$8, C91&gt;0), MAX(0, C91-E91), 0)</f>
        <v/>
      </c>
    </row>
    <row r="92" ht="20" customHeight="1">
      <c r="A92" s="15" t="n">
        <v>79</v>
      </c>
      <c r="B92" s="16">
        <f>IF(A92&lt;=$C$8, EDATE($C$9, A92), "")</f>
        <v/>
      </c>
      <c r="C92" s="17">
        <f>IF(A92&lt;=$C$8, G91, 0)</f>
        <v/>
      </c>
      <c r="D92" s="17">
        <f>IF(AND(A92&lt;=$C$8, C92&gt;0), IF(A92=$C$8, C92+F92, $G$6), 0)</f>
        <v/>
      </c>
      <c r="E92" s="17">
        <f>IF(AND(A92&lt;=$C$8, C92&gt;0), MIN(C92, D92-F92), 0)</f>
        <v/>
      </c>
      <c r="F92" s="17">
        <f>IF(AND(A92&lt;=$C$8, C92&gt;0), C92*$C$7, 0)</f>
        <v/>
      </c>
      <c r="G92" s="17">
        <f>IF(AND(A92&lt;=$C$8, C92&gt;0), MAX(0, C92-E92), 0)</f>
        <v/>
      </c>
    </row>
    <row r="93" ht="20" customHeight="1">
      <c r="A93" s="18" t="n">
        <v>80</v>
      </c>
      <c r="B93" s="19">
        <f>IF(A93&lt;=$C$8, EDATE($C$9, A93), "")</f>
        <v/>
      </c>
      <c r="C93" s="20">
        <f>IF(A93&lt;=$C$8, G92, 0)</f>
        <v/>
      </c>
      <c r="D93" s="20">
        <f>IF(AND(A93&lt;=$C$8, C93&gt;0), IF(A93=$C$8, C93+F93, $G$6), 0)</f>
        <v/>
      </c>
      <c r="E93" s="20">
        <f>IF(AND(A93&lt;=$C$8, C93&gt;0), MIN(C93, D93-F93), 0)</f>
        <v/>
      </c>
      <c r="F93" s="20">
        <f>IF(AND(A93&lt;=$C$8, C93&gt;0), C93*$C$7, 0)</f>
        <v/>
      </c>
      <c r="G93" s="20">
        <f>IF(AND(A93&lt;=$C$8, C93&gt;0), MAX(0, C93-E93), 0)</f>
        <v/>
      </c>
    </row>
    <row r="94" ht="20" customHeight="1">
      <c r="A94" s="15" t="n">
        <v>81</v>
      </c>
      <c r="B94" s="16">
        <f>IF(A94&lt;=$C$8, EDATE($C$9, A94), "")</f>
        <v/>
      </c>
      <c r="C94" s="17">
        <f>IF(A94&lt;=$C$8, G93, 0)</f>
        <v/>
      </c>
      <c r="D94" s="17">
        <f>IF(AND(A94&lt;=$C$8, C94&gt;0), IF(A94=$C$8, C94+F94, $G$6), 0)</f>
        <v/>
      </c>
      <c r="E94" s="17">
        <f>IF(AND(A94&lt;=$C$8, C94&gt;0), MIN(C94, D94-F94), 0)</f>
        <v/>
      </c>
      <c r="F94" s="17">
        <f>IF(AND(A94&lt;=$C$8, C94&gt;0), C94*$C$7, 0)</f>
        <v/>
      </c>
      <c r="G94" s="17">
        <f>IF(AND(A94&lt;=$C$8, C94&gt;0), MAX(0, C94-E94), 0)</f>
        <v/>
      </c>
    </row>
    <row r="95" ht="20" customHeight="1">
      <c r="A95" s="18" t="n">
        <v>82</v>
      </c>
      <c r="B95" s="19">
        <f>IF(A95&lt;=$C$8, EDATE($C$9, A95), "")</f>
        <v/>
      </c>
      <c r="C95" s="20">
        <f>IF(A95&lt;=$C$8, G94, 0)</f>
        <v/>
      </c>
      <c r="D95" s="20">
        <f>IF(AND(A95&lt;=$C$8, C95&gt;0), IF(A95=$C$8, C95+F95, $G$6), 0)</f>
        <v/>
      </c>
      <c r="E95" s="20">
        <f>IF(AND(A95&lt;=$C$8, C95&gt;0), MIN(C95, D95-F95), 0)</f>
        <v/>
      </c>
      <c r="F95" s="20">
        <f>IF(AND(A95&lt;=$C$8, C95&gt;0), C95*$C$7, 0)</f>
        <v/>
      </c>
      <c r="G95" s="20">
        <f>IF(AND(A95&lt;=$C$8, C95&gt;0), MAX(0, C95-E95), 0)</f>
        <v/>
      </c>
    </row>
    <row r="96" ht="20" customHeight="1">
      <c r="A96" s="15" t="n">
        <v>83</v>
      </c>
      <c r="B96" s="16">
        <f>IF(A96&lt;=$C$8, EDATE($C$9, A96), "")</f>
        <v/>
      </c>
      <c r="C96" s="17">
        <f>IF(A96&lt;=$C$8, G95, 0)</f>
        <v/>
      </c>
      <c r="D96" s="17">
        <f>IF(AND(A96&lt;=$C$8, C96&gt;0), IF(A96=$C$8, C96+F96, $G$6), 0)</f>
        <v/>
      </c>
      <c r="E96" s="17">
        <f>IF(AND(A96&lt;=$C$8, C96&gt;0), MIN(C96, D96-F96), 0)</f>
        <v/>
      </c>
      <c r="F96" s="17">
        <f>IF(AND(A96&lt;=$C$8, C96&gt;0), C96*$C$7, 0)</f>
        <v/>
      </c>
      <c r="G96" s="17">
        <f>IF(AND(A96&lt;=$C$8, C96&gt;0), MAX(0, C96-E96), 0)</f>
        <v/>
      </c>
    </row>
    <row r="97" ht="20" customHeight="1">
      <c r="A97" s="18" t="n">
        <v>84</v>
      </c>
      <c r="B97" s="19">
        <f>IF(A97&lt;=$C$8, EDATE($C$9, A97), "")</f>
        <v/>
      </c>
      <c r="C97" s="20">
        <f>IF(A97&lt;=$C$8, G96, 0)</f>
        <v/>
      </c>
      <c r="D97" s="20">
        <f>IF(AND(A97&lt;=$C$8, C97&gt;0), IF(A97=$C$8, C97+F97, $G$6), 0)</f>
        <v/>
      </c>
      <c r="E97" s="20">
        <f>IF(AND(A97&lt;=$C$8, C97&gt;0), MIN(C97, D97-F97), 0)</f>
        <v/>
      </c>
      <c r="F97" s="20">
        <f>IF(AND(A97&lt;=$C$8, C97&gt;0), C97*$C$7, 0)</f>
        <v/>
      </c>
      <c r="G97" s="20">
        <f>IF(AND(A97&lt;=$C$8, C97&gt;0), MAX(0, C97-E97), 0)</f>
        <v/>
      </c>
    </row>
    <row r="98" ht="20" customHeight="1">
      <c r="A98" s="15" t="n">
        <v>85</v>
      </c>
      <c r="B98" s="16">
        <f>IF(A98&lt;=$C$8, EDATE($C$9, A98), "")</f>
        <v/>
      </c>
      <c r="C98" s="17">
        <f>IF(A98&lt;=$C$8, G97, 0)</f>
        <v/>
      </c>
      <c r="D98" s="17">
        <f>IF(AND(A98&lt;=$C$8, C98&gt;0), IF(A98=$C$8, C98+F98, $G$6), 0)</f>
        <v/>
      </c>
      <c r="E98" s="17">
        <f>IF(AND(A98&lt;=$C$8, C98&gt;0), MIN(C98, D98-F98), 0)</f>
        <v/>
      </c>
      <c r="F98" s="17">
        <f>IF(AND(A98&lt;=$C$8, C98&gt;0), C98*$C$7, 0)</f>
        <v/>
      </c>
      <c r="G98" s="17">
        <f>IF(AND(A98&lt;=$C$8, C98&gt;0), MAX(0, C98-E98), 0)</f>
        <v/>
      </c>
    </row>
    <row r="99" ht="20" customHeight="1">
      <c r="A99" s="18" t="n">
        <v>86</v>
      </c>
      <c r="B99" s="19">
        <f>IF(A99&lt;=$C$8, EDATE($C$9, A99), "")</f>
        <v/>
      </c>
      <c r="C99" s="20">
        <f>IF(A99&lt;=$C$8, G98, 0)</f>
        <v/>
      </c>
      <c r="D99" s="20">
        <f>IF(AND(A99&lt;=$C$8, C99&gt;0), IF(A99=$C$8, C99+F99, $G$6), 0)</f>
        <v/>
      </c>
      <c r="E99" s="20">
        <f>IF(AND(A99&lt;=$C$8, C99&gt;0), MIN(C99, D99-F99), 0)</f>
        <v/>
      </c>
      <c r="F99" s="20">
        <f>IF(AND(A99&lt;=$C$8, C99&gt;0), C99*$C$7, 0)</f>
        <v/>
      </c>
      <c r="G99" s="20">
        <f>IF(AND(A99&lt;=$C$8, C99&gt;0), MAX(0, C99-E99), 0)</f>
        <v/>
      </c>
    </row>
    <row r="100" ht="20" customHeight="1">
      <c r="A100" s="15" t="n">
        <v>87</v>
      </c>
      <c r="B100" s="16">
        <f>IF(A100&lt;=$C$8, EDATE($C$9, A100), "")</f>
        <v/>
      </c>
      <c r="C100" s="17">
        <f>IF(A100&lt;=$C$8, G99, 0)</f>
        <v/>
      </c>
      <c r="D100" s="17">
        <f>IF(AND(A100&lt;=$C$8, C100&gt;0), IF(A100=$C$8, C100+F100, $G$6), 0)</f>
        <v/>
      </c>
      <c r="E100" s="17">
        <f>IF(AND(A100&lt;=$C$8, C100&gt;0), MIN(C100, D100-F100), 0)</f>
        <v/>
      </c>
      <c r="F100" s="17">
        <f>IF(AND(A100&lt;=$C$8, C100&gt;0), C100*$C$7, 0)</f>
        <v/>
      </c>
      <c r="G100" s="17">
        <f>IF(AND(A100&lt;=$C$8, C100&gt;0), MAX(0, C100-E100), 0)</f>
        <v/>
      </c>
    </row>
    <row r="101" ht="20" customHeight="1">
      <c r="A101" s="18" t="n">
        <v>88</v>
      </c>
      <c r="B101" s="19">
        <f>IF(A101&lt;=$C$8, EDATE($C$9, A101), "")</f>
        <v/>
      </c>
      <c r="C101" s="20">
        <f>IF(A101&lt;=$C$8, G100, 0)</f>
        <v/>
      </c>
      <c r="D101" s="20">
        <f>IF(AND(A101&lt;=$C$8, C101&gt;0), IF(A101=$C$8, C101+F101, $G$6), 0)</f>
        <v/>
      </c>
      <c r="E101" s="20">
        <f>IF(AND(A101&lt;=$C$8, C101&gt;0), MIN(C101, D101-F101), 0)</f>
        <v/>
      </c>
      <c r="F101" s="20">
        <f>IF(AND(A101&lt;=$C$8, C101&gt;0), C101*$C$7, 0)</f>
        <v/>
      </c>
      <c r="G101" s="20">
        <f>IF(AND(A101&lt;=$C$8, C101&gt;0), MAX(0, C101-E101), 0)</f>
        <v/>
      </c>
    </row>
    <row r="102" ht="20" customHeight="1">
      <c r="A102" s="15" t="n">
        <v>89</v>
      </c>
      <c r="B102" s="16">
        <f>IF(A102&lt;=$C$8, EDATE($C$9, A102), "")</f>
        <v/>
      </c>
      <c r="C102" s="17">
        <f>IF(A102&lt;=$C$8, G101, 0)</f>
        <v/>
      </c>
      <c r="D102" s="17">
        <f>IF(AND(A102&lt;=$C$8, C102&gt;0), IF(A102=$C$8, C102+F102, $G$6), 0)</f>
        <v/>
      </c>
      <c r="E102" s="17">
        <f>IF(AND(A102&lt;=$C$8, C102&gt;0), MIN(C102, D102-F102), 0)</f>
        <v/>
      </c>
      <c r="F102" s="17">
        <f>IF(AND(A102&lt;=$C$8, C102&gt;0), C102*$C$7, 0)</f>
        <v/>
      </c>
      <c r="G102" s="17">
        <f>IF(AND(A102&lt;=$C$8, C102&gt;0), MAX(0, C102-E102), 0)</f>
        <v/>
      </c>
    </row>
    <row r="103" ht="20" customHeight="1">
      <c r="A103" s="18" t="n">
        <v>90</v>
      </c>
      <c r="B103" s="19">
        <f>IF(A103&lt;=$C$8, EDATE($C$9, A103), "")</f>
        <v/>
      </c>
      <c r="C103" s="20">
        <f>IF(A103&lt;=$C$8, G102, 0)</f>
        <v/>
      </c>
      <c r="D103" s="20">
        <f>IF(AND(A103&lt;=$C$8, C103&gt;0), IF(A103=$C$8, C103+F103, $G$6), 0)</f>
        <v/>
      </c>
      <c r="E103" s="20">
        <f>IF(AND(A103&lt;=$C$8, C103&gt;0), MIN(C103, D103-F103), 0)</f>
        <v/>
      </c>
      <c r="F103" s="20">
        <f>IF(AND(A103&lt;=$C$8, C103&gt;0), C103*$C$7, 0)</f>
        <v/>
      </c>
      <c r="G103" s="20">
        <f>IF(AND(A103&lt;=$C$8, C103&gt;0), MAX(0, C103-E103), 0)</f>
        <v/>
      </c>
    </row>
    <row r="104" ht="20" customHeight="1">
      <c r="A104" s="15" t="n">
        <v>91</v>
      </c>
      <c r="B104" s="16">
        <f>IF(A104&lt;=$C$8, EDATE($C$9, A104), "")</f>
        <v/>
      </c>
      <c r="C104" s="17">
        <f>IF(A104&lt;=$C$8, G103, 0)</f>
        <v/>
      </c>
      <c r="D104" s="17">
        <f>IF(AND(A104&lt;=$C$8, C104&gt;0), IF(A104=$C$8, C104+F104, $G$6), 0)</f>
        <v/>
      </c>
      <c r="E104" s="17">
        <f>IF(AND(A104&lt;=$C$8, C104&gt;0), MIN(C104, D104-F104), 0)</f>
        <v/>
      </c>
      <c r="F104" s="17">
        <f>IF(AND(A104&lt;=$C$8, C104&gt;0), C104*$C$7, 0)</f>
        <v/>
      </c>
      <c r="G104" s="17">
        <f>IF(AND(A104&lt;=$C$8, C104&gt;0), MAX(0, C104-E104), 0)</f>
        <v/>
      </c>
    </row>
    <row r="105" ht="20" customHeight="1">
      <c r="A105" s="18" t="n">
        <v>92</v>
      </c>
      <c r="B105" s="19">
        <f>IF(A105&lt;=$C$8, EDATE($C$9, A105), "")</f>
        <v/>
      </c>
      <c r="C105" s="20">
        <f>IF(A105&lt;=$C$8, G104, 0)</f>
        <v/>
      </c>
      <c r="D105" s="20">
        <f>IF(AND(A105&lt;=$C$8, C105&gt;0), IF(A105=$C$8, C105+F105, $G$6), 0)</f>
        <v/>
      </c>
      <c r="E105" s="20">
        <f>IF(AND(A105&lt;=$C$8, C105&gt;0), MIN(C105, D105-F105), 0)</f>
        <v/>
      </c>
      <c r="F105" s="20">
        <f>IF(AND(A105&lt;=$C$8, C105&gt;0), C105*$C$7, 0)</f>
        <v/>
      </c>
      <c r="G105" s="20">
        <f>IF(AND(A105&lt;=$C$8, C105&gt;0), MAX(0, C105-E105), 0)</f>
        <v/>
      </c>
    </row>
    <row r="106" ht="20" customHeight="1">
      <c r="A106" s="15" t="n">
        <v>93</v>
      </c>
      <c r="B106" s="16">
        <f>IF(A106&lt;=$C$8, EDATE($C$9, A106), "")</f>
        <v/>
      </c>
      <c r="C106" s="17">
        <f>IF(A106&lt;=$C$8, G105, 0)</f>
        <v/>
      </c>
      <c r="D106" s="17">
        <f>IF(AND(A106&lt;=$C$8, C106&gt;0), IF(A106=$C$8, C106+F106, $G$6), 0)</f>
        <v/>
      </c>
      <c r="E106" s="17">
        <f>IF(AND(A106&lt;=$C$8, C106&gt;0), MIN(C106, D106-F106), 0)</f>
        <v/>
      </c>
      <c r="F106" s="17">
        <f>IF(AND(A106&lt;=$C$8, C106&gt;0), C106*$C$7, 0)</f>
        <v/>
      </c>
      <c r="G106" s="17">
        <f>IF(AND(A106&lt;=$C$8, C106&gt;0), MAX(0, C106-E106), 0)</f>
        <v/>
      </c>
    </row>
    <row r="107" ht="20" customHeight="1">
      <c r="A107" s="18" t="n">
        <v>94</v>
      </c>
      <c r="B107" s="19">
        <f>IF(A107&lt;=$C$8, EDATE($C$9, A107), "")</f>
        <v/>
      </c>
      <c r="C107" s="20">
        <f>IF(A107&lt;=$C$8, G106, 0)</f>
        <v/>
      </c>
      <c r="D107" s="20">
        <f>IF(AND(A107&lt;=$C$8, C107&gt;0), IF(A107=$C$8, C107+F107, $G$6), 0)</f>
        <v/>
      </c>
      <c r="E107" s="20">
        <f>IF(AND(A107&lt;=$C$8, C107&gt;0), MIN(C107, D107-F107), 0)</f>
        <v/>
      </c>
      <c r="F107" s="20">
        <f>IF(AND(A107&lt;=$C$8, C107&gt;0), C107*$C$7, 0)</f>
        <v/>
      </c>
      <c r="G107" s="20">
        <f>IF(AND(A107&lt;=$C$8, C107&gt;0), MAX(0, C107-E107), 0)</f>
        <v/>
      </c>
    </row>
    <row r="108" ht="20" customHeight="1">
      <c r="A108" s="15" t="n">
        <v>95</v>
      </c>
      <c r="B108" s="16">
        <f>IF(A108&lt;=$C$8, EDATE($C$9, A108), "")</f>
        <v/>
      </c>
      <c r="C108" s="17">
        <f>IF(A108&lt;=$C$8, G107, 0)</f>
        <v/>
      </c>
      <c r="D108" s="17">
        <f>IF(AND(A108&lt;=$C$8, C108&gt;0), IF(A108=$C$8, C108+F108, $G$6), 0)</f>
        <v/>
      </c>
      <c r="E108" s="17">
        <f>IF(AND(A108&lt;=$C$8, C108&gt;0), MIN(C108, D108-F108), 0)</f>
        <v/>
      </c>
      <c r="F108" s="17">
        <f>IF(AND(A108&lt;=$C$8, C108&gt;0), C108*$C$7, 0)</f>
        <v/>
      </c>
      <c r="G108" s="17">
        <f>IF(AND(A108&lt;=$C$8, C108&gt;0), MAX(0, C108-E108), 0)</f>
        <v/>
      </c>
    </row>
    <row r="109" ht="20" customHeight="1">
      <c r="A109" s="18" t="n">
        <v>96</v>
      </c>
      <c r="B109" s="19">
        <f>IF(A109&lt;=$C$8, EDATE($C$9, A109), "")</f>
        <v/>
      </c>
      <c r="C109" s="20">
        <f>IF(A109&lt;=$C$8, G108, 0)</f>
        <v/>
      </c>
      <c r="D109" s="20">
        <f>IF(AND(A109&lt;=$C$8, C109&gt;0), IF(A109=$C$8, C109+F109, $G$6), 0)</f>
        <v/>
      </c>
      <c r="E109" s="20">
        <f>IF(AND(A109&lt;=$C$8, C109&gt;0), MIN(C109, D109-F109), 0)</f>
        <v/>
      </c>
      <c r="F109" s="20">
        <f>IF(AND(A109&lt;=$C$8, C109&gt;0), C109*$C$7, 0)</f>
        <v/>
      </c>
      <c r="G109" s="20">
        <f>IF(AND(A109&lt;=$C$8, C109&gt;0), MAX(0, C109-E109), 0)</f>
        <v/>
      </c>
    </row>
    <row r="110" ht="20" customHeight="1">
      <c r="A110" s="15" t="n">
        <v>97</v>
      </c>
      <c r="B110" s="16">
        <f>IF(A110&lt;=$C$8, EDATE($C$9, A110), "")</f>
        <v/>
      </c>
      <c r="C110" s="17">
        <f>IF(A110&lt;=$C$8, G109, 0)</f>
        <v/>
      </c>
      <c r="D110" s="17">
        <f>IF(AND(A110&lt;=$C$8, C110&gt;0), IF(A110=$C$8, C110+F110, $G$6), 0)</f>
        <v/>
      </c>
      <c r="E110" s="17">
        <f>IF(AND(A110&lt;=$C$8, C110&gt;0), MIN(C110, D110-F110), 0)</f>
        <v/>
      </c>
      <c r="F110" s="17">
        <f>IF(AND(A110&lt;=$C$8, C110&gt;0), C110*$C$7, 0)</f>
        <v/>
      </c>
      <c r="G110" s="17">
        <f>IF(AND(A110&lt;=$C$8, C110&gt;0), MAX(0, C110-E110), 0)</f>
        <v/>
      </c>
    </row>
    <row r="111" ht="20" customHeight="1">
      <c r="A111" s="18" t="n">
        <v>98</v>
      </c>
      <c r="B111" s="19">
        <f>IF(A111&lt;=$C$8, EDATE($C$9, A111), "")</f>
        <v/>
      </c>
      <c r="C111" s="20">
        <f>IF(A111&lt;=$C$8, G110, 0)</f>
        <v/>
      </c>
      <c r="D111" s="20">
        <f>IF(AND(A111&lt;=$C$8, C111&gt;0), IF(A111=$C$8, C111+F111, $G$6), 0)</f>
        <v/>
      </c>
      <c r="E111" s="20">
        <f>IF(AND(A111&lt;=$C$8, C111&gt;0), MIN(C111, D111-F111), 0)</f>
        <v/>
      </c>
      <c r="F111" s="20">
        <f>IF(AND(A111&lt;=$C$8, C111&gt;0), C111*$C$7, 0)</f>
        <v/>
      </c>
      <c r="G111" s="20">
        <f>IF(AND(A111&lt;=$C$8, C111&gt;0), MAX(0, C111-E111), 0)</f>
        <v/>
      </c>
    </row>
    <row r="112" ht="20" customHeight="1">
      <c r="A112" s="15" t="n">
        <v>99</v>
      </c>
      <c r="B112" s="16">
        <f>IF(A112&lt;=$C$8, EDATE($C$9, A112), "")</f>
        <v/>
      </c>
      <c r="C112" s="17">
        <f>IF(A112&lt;=$C$8, G111, 0)</f>
        <v/>
      </c>
      <c r="D112" s="17">
        <f>IF(AND(A112&lt;=$C$8, C112&gt;0), IF(A112=$C$8, C112+F112, $G$6), 0)</f>
        <v/>
      </c>
      <c r="E112" s="17">
        <f>IF(AND(A112&lt;=$C$8, C112&gt;0), MIN(C112, D112-F112), 0)</f>
        <v/>
      </c>
      <c r="F112" s="17">
        <f>IF(AND(A112&lt;=$C$8, C112&gt;0), C112*$C$7, 0)</f>
        <v/>
      </c>
      <c r="G112" s="17">
        <f>IF(AND(A112&lt;=$C$8, C112&gt;0), MAX(0, C112-E112), 0)</f>
        <v/>
      </c>
    </row>
    <row r="113" ht="20" customHeight="1">
      <c r="A113" s="18" t="n">
        <v>100</v>
      </c>
      <c r="B113" s="19">
        <f>IF(A113&lt;=$C$8, EDATE($C$9, A113), "")</f>
        <v/>
      </c>
      <c r="C113" s="20">
        <f>IF(A113&lt;=$C$8, G112, 0)</f>
        <v/>
      </c>
      <c r="D113" s="20">
        <f>IF(AND(A113&lt;=$C$8, C113&gt;0), IF(A113=$C$8, C113+F113, $G$6), 0)</f>
        <v/>
      </c>
      <c r="E113" s="20">
        <f>IF(AND(A113&lt;=$C$8, C113&gt;0), MIN(C113, D113-F113), 0)</f>
        <v/>
      </c>
      <c r="F113" s="20">
        <f>IF(AND(A113&lt;=$C$8, C113&gt;0), C113*$C$7, 0)</f>
        <v/>
      </c>
      <c r="G113" s="20">
        <f>IF(AND(A113&lt;=$C$8, C113&gt;0), MAX(0, C113-E113), 0)</f>
        <v/>
      </c>
    </row>
    <row r="114" ht="20" customHeight="1">
      <c r="A114" s="15" t="n">
        <v>101</v>
      </c>
      <c r="B114" s="16">
        <f>IF(A114&lt;=$C$8, EDATE($C$9, A114), "")</f>
        <v/>
      </c>
      <c r="C114" s="17">
        <f>IF(A114&lt;=$C$8, G113, 0)</f>
        <v/>
      </c>
      <c r="D114" s="17">
        <f>IF(AND(A114&lt;=$C$8, C114&gt;0), IF(A114=$C$8, C114+F114, $G$6), 0)</f>
        <v/>
      </c>
      <c r="E114" s="17">
        <f>IF(AND(A114&lt;=$C$8, C114&gt;0), MIN(C114, D114-F114), 0)</f>
        <v/>
      </c>
      <c r="F114" s="17">
        <f>IF(AND(A114&lt;=$C$8, C114&gt;0), C114*$C$7, 0)</f>
        <v/>
      </c>
      <c r="G114" s="17">
        <f>IF(AND(A114&lt;=$C$8, C114&gt;0), MAX(0, C114-E114), 0)</f>
        <v/>
      </c>
    </row>
    <row r="115" ht="20" customHeight="1">
      <c r="A115" s="18" t="n">
        <v>102</v>
      </c>
      <c r="B115" s="19">
        <f>IF(A115&lt;=$C$8, EDATE($C$9, A115), "")</f>
        <v/>
      </c>
      <c r="C115" s="20">
        <f>IF(A115&lt;=$C$8, G114, 0)</f>
        <v/>
      </c>
      <c r="D115" s="20">
        <f>IF(AND(A115&lt;=$C$8, C115&gt;0), IF(A115=$C$8, C115+F115, $G$6), 0)</f>
        <v/>
      </c>
      <c r="E115" s="20">
        <f>IF(AND(A115&lt;=$C$8, C115&gt;0), MIN(C115, D115-F115), 0)</f>
        <v/>
      </c>
      <c r="F115" s="20">
        <f>IF(AND(A115&lt;=$C$8, C115&gt;0), C115*$C$7, 0)</f>
        <v/>
      </c>
      <c r="G115" s="20">
        <f>IF(AND(A115&lt;=$C$8, C115&gt;0), MAX(0, C115-E115), 0)</f>
        <v/>
      </c>
    </row>
    <row r="116" ht="20" customHeight="1">
      <c r="A116" s="15" t="n">
        <v>103</v>
      </c>
      <c r="B116" s="16">
        <f>IF(A116&lt;=$C$8, EDATE($C$9, A116), "")</f>
        <v/>
      </c>
      <c r="C116" s="17">
        <f>IF(A116&lt;=$C$8, G115, 0)</f>
        <v/>
      </c>
      <c r="D116" s="17">
        <f>IF(AND(A116&lt;=$C$8, C116&gt;0), IF(A116=$C$8, C116+F116, $G$6), 0)</f>
        <v/>
      </c>
      <c r="E116" s="17">
        <f>IF(AND(A116&lt;=$C$8, C116&gt;0), MIN(C116, D116-F116), 0)</f>
        <v/>
      </c>
      <c r="F116" s="17">
        <f>IF(AND(A116&lt;=$C$8, C116&gt;0), C116*$C$7, 0)</f>
        <v/>
      </c>
      <c r="G116" s="17">
        <f>IF(AND(A116&lt;=$C$8, C116&gt;0), MAX(0, C116-E116), 0)</f>
        <v/>
      </c>
    </row>
    <row r="117" ht="20" customHeight="1">
      <c r="A117" s="18" t="n">
        <v>104</v>
      </c>
      <c r="B117" s="19">
        <f>IF(A117&lt;=$C$8, EDATE($C$9, A117), "")</f>
        <v/>
      </c>
      <c r="C117" s="20">
        <f>IF(A117&lt;=$C$8, G116, 0)</f>
        <v/>
      </c>
      <c r="D117" s="20">
        <f>IF(AND(A117&lt;=$C$8, C117&gt;0), IF(A117=$C$8, C117+F117, $G$6), 0)</f>
        <v/>
      </c>
      <c r="E117" s="20">
        <f>IF(AND(A117&lt;=$C$8, C117&gt;0), MIN(C117, D117-F117), 0)</f>
        <v/>
      </c>
      <c r="F117" s="20">
        <f>IF(AND(A117&lt;=$C$8, C117&gt;0), C117*$C$7, 0)</f>
        <v/>
      </c>
      <c r="G117" s="20">
        <f>IF(AND(A117&lt;=$C$8, C117&gt;0), MAX(0, C117-E117), 0)</f>
        <v/>
      </c>
    </row>
    <row r="118" ht="20" customHeight="1">
      <c r="A118" s="15" t="n">
        <v>105</v>
      </c>
      <c r="B118" s="16">
        <f>IF(A118&lt;=$C$8, EDATE($C$9, A118), "")</f>
        <v/>
      </c>
      <c r="C118" s="17">
        <f>IF(A118&lt;=$C$8, G117, 0)</f>
        <v/>
      </c>
      <c r="D118" s="17">
        <f>IF(AND(A118&lt;=$C$8, C118&gt;0), IF(A118=$C$8, C118+F118, $G$6), 0)</f>
        <v/>
      </c>
      <c r="E118" s="17">
        <f>IF(AND(A118&lt;=$C$8, C118&gt;0), MIN(C118, D118-F118), 0)</f>
        <v/>
      </c>
      <c r="F118" s="17">
        <f>IF(AND(A118&lt;=$C$8, C118&gt;0), C118*$C$7, 0)</f>
        <v/>
      </c>
      <c r="G118" s="17">
        <f>IF(AND(A118&lt;=$C$8, C118&gt;0), MAX(0, C118-E118), 0)</f>
        <v/>
      </c>
    </row>
    <row r="119" ht="20" customHeight="1">
      <c r="A119" s="18" t="n">
        <v>106</v>
      </c>
      <c r="B119" s="19">
        <f>IF(A119&lt;=$C$8, EDATE($C$9, A119), "")</f>
        <v/>
      </c>
      <c r="C119" s="20">
        <f>IF(A119&lt;=$C$8, G118, 0)</f>
        <v/>
      </c>
      <c r="D119" s="20">
        <f>IF(AND(A119&lt;=$C$8, C119&gt;0), IF(A119=$C$8, C119+F119, $G$6), 0)</f>
        <v/>
      </c>
      <c r="E119" s="20">
        <f>IF(AND(A119&lt;=$C$8, C119&gt;0), MIN(C119, D119-F119), 0)</f>
        <v/>
      </c>
      <c r="F119" s="20">
        <f>IF(AND(A119&lt;=$C$8, C119&gt;0), C119*$C$7, 0)</f>
        <v/>
      </c>
      <c r="G119" s="20">
        <f>IF(AND(A119&lt;=$C$8, C119&gt;0), MAX(0, C119-E119), 0)</f>
        <v/>
      </c>
    </row>
    <row r="120" ht="20" customHeight="1">
      <c r="A120" s="15" t="n">
        <v>107</v>
      </c>
      <c r="B120" s="16">
        <f>IF(A120&lt;=$C$8, EDATE($C$9, A120), "")</f>
        <v/>
      </c>
      <c r="C120" s="17">
        <f>IF(A120&lt;=$C$8, G119, 0)</f>
        <v/>
      </c>
      <c r="D120" s="17">
        <f>IF(AND(A120&lt;=$C$8, C120&gt;0), IF(A120=$C$8, C120+F120, $G$6), 0)</f>
        <v/>
      </c>
      <c r="E120" s="17">
        <f>IF(AND(A120&lt;=$C$8, C120&gt;0), MIN(C120, D120-F120), 0)</f>
        <v/>
      </c>
      <c r="F120" s="17">
        <f>IF(AND(A120&lt;=$C$8, C120&gt;0), C120*$C$7, 0)</f>
        <v/>
      </c>
      <c r="G120" s="17">
        <f>IF(AND(A120&lt;=$C$8, C120&gt;0), MAX(0, C120-E120), 0)</f>
        <v/>
      </c>
    </row>
    <row r="121" ht="20" customHeight="1">
      <c r="A121" s="18" t="n">
        <v>108</v>
      </c>
      <c r="B121" s="19">
        <f>IF(A121&lt;=$C$8, EDATE($C$9, A121), "")</f>
        <v/>
      </c>
      <c r="C121" s="20">
        <f>IF(A121&lt;=$C$8, G120, 0)</f>
        <v/>
      </c>
      <c r="D121" s="20">
        <f>IF(AND(A121&lt;=$C$8, C121&gt;0), IF(A121=$C$8, C121+F121, $G$6), 0)</f>
        <v/>
      </c>
      <c r="E121" s="20">
        <f>IF(AND(A121&lt;=$C$8, C121&gt;0), MIN(C121, D121-F121), 0)</f>
        <v/>
      </c>
      <c r="F121" s="20">
        <f>IF(AND(A121&lt;=$C$8, C121&gt;0), C121*$C$7, 0)</f>
        <v/>
      </c>
      <c r="G121" s="20">
        <f>IF(AND(A121&lt;=$C$8, C121&gt;0), MAX(0, C121-E121), 0)</f>
        <v/>
      </c>
    </row>
    <row r="122" ht="20" customHeight="1">
      <c r="A122" s="15" t="n">
        <v>109</v>
      </c>
      <c r="B122" s="16">
        <f>IF(A122&lt;=$C$8, EDATE($C$9, A122), "")</f>
        <v/>
      </c>
      <c r="C122" s="17">
        <f>IF(A122&lt;=$C$8, G121, 0)</f>
        <v/>
      </c>
      <c r="D122" s="17">
        <f>IF(AND(A122&lt;=$C$8, C122&gt;0), IF(A122=$C$8, C122+F122, $G$6), 0)</f>
        <v/>
      </c>
      <c r="E122" s="17">
        <f>IF(AND(A122&lt;=$C$8, C122&gt;0), MIN(C122, D122-F122), 0)</f>
        <v/>
      </c>
      <c r="F122" s="17">
        <f>IF(AND(A122&lt;=$C$8, C122&gt;0), C122*$C$7, 0)</f>
        <v/>
      </c>
      <c r="G122" s="17">
        <f>IF(AND(A122&lt;=$C$8, C122&gt;0), MAX(0, C122-E122), 0)</f>
        <v/>
      </c>
    </row>
    <row r="123" ht="20" customHeight="1">
      <c r="A123" s="18" t="n">
        <v>110</v>
      </c>
      <c r="B123" s="19">
        <f>IF(A123&lt;=$C$8, EDATE($C$9, A123), "")</f>
        <v/>
      </c>
      <c r="C123" s="20">
        <f>IF(A123&lt;=$C$8, G122, 0)</f>
        <v/>
      </c>
      <c r="D123" s="20">
        <f>IF(AND(A123&lt;=$C$8, C123&gt;0), IF(A123=$C$8, C123+F123, $G$6), 0)</f>
        <v/>
      </c>
      <c r="E123" s="20">
        <f>IF(AND(A123&lt;=$C$8, C123&gt;0), MIN(C123, D123-F123), 0)</f>
        <v/>
      </c>
      <c r="F123" s="20">
        <f>IF(AND(A123&lt;=$C$8, C123&gt;0), C123*$C$7, 0)</f>
        <v/>
      </c>
      <c r="G123" s="20">
        <f>IF(AND(A123&lt;=$C$8, C123&gt;0), MAX(0, C123-E123), 0)</f>
        <v/>
      </c>
    </row>
    <row r="124" ht="20" customHeight="1">
      <c r="A124" s="15" t="n">
        <v>111</v>
      </c>
      <c r="B124" s="16">
        <f>IF(A124&lt;=$C$8, EDATE($C$9, A124), "")</f>
        <v/>
      </c>
      <c r="C124" s="17">
        <f>IF(A124&lt;=$C$8, G123, 0)</f>
        <v/>
      </c>
      <c r="D124" s="17">
        <f>IF(AND(A124&lt;=$C$8, C124&gt;0), IF(A124=$C$8, C124+F124, $G$6), 0)</f>
        <v/>
      </c>
      <c r="E124" s="17">
        <f>IF(AND(A124&lt;=$C$8, C124&gt;0), MIN(C124, D124-F124), 0)</f>
        <v/>
      </c>
      <c r="F124" s="17">
        <f>IF(AND(A124&lt;=$C$8, C124&gt;0), C124*$C$7, 0)</f>
        <v/>
      </c>
      <c r="G124" s="17">
        <f>IF(AND(A124&lt;=$C$8, C124&gt;0), MAX(0, C124-E124), 0)</f>
        <v/>
      </c>
    </row>
    <row r="125" ht="20" customHeight="1">
      <c r="A125" s="18" t="n">
        <v>112</v>
      </c>
      <c r="B125" s="19">
        <f>IF(A125&lt;=$C$8, EDATE($C$9, A125), "")</f>
        <v/>
      </c>
      <c r="C125" s="20">
        <f>IF(A125&lt;=$C$8, G124, 0)</f>
        <v/>
      </c>
      <c r="D125" s="20">
        <f>IF(AND(A125&lt;=$C$8, C125&gt;0), IF(A125=$C$8, C125+F125, $G$6), 0)</f>
        <v/>
      </c>
      <c r="E125" s="20">
        <f>IF(AND(A125&lt;=$C$8, C125&gt;0), MIN(C125, D125-F125), 0)</f>
        <v/>
      </c>
      <c r="F125" s="20">
        <f>IF(AND(A125&lt;=$C$8, C125&gt;0), C125*$C$7, 0)</f>
        <v/>
      </c>
      <c r="G125" s="20">
        <f>IF(AND(A125&lt;=$C$8, C125&gt;0), MAX(0, C125-E125), 0)</f>
        <v/>
      </c>
    </row>
    <row r="126" ht="20" customHeight="1">
      <c r="A126" s="15" t="n">
        <v>113</v>
      </c>
      <c r="B126" s="16">
        <f>IF(A126&lt;=$C$8, EDATE($C$9, A126), "")</f>
        <v/>
      </c>
      <c r="C126" s="17">
        <f>IF(A126&lt;=$C$8, G125, 0)</f>
        <v/>
      </c>
      <c r="D126" s="17">
        <f>IF(AND(A126&lt;=$C$8, C126&gt;0), IF(A126=$C$8, C126+F126, $G$6), 0)</f>
        <v/>
      </c>
      <c r="E126" s="17">
        <f>IF(AND(A126&lt;=$C$8, C126&gt;0), MIN(C126, D126-F126), 0)</f>
        <v/>
      </c>
      <c r="F126" s="17">
        <f>IF(AND(A126&lt;=$C$8, C126&gt;0), C126*$C$7, 0)</f>
        <v/>
      </c>
      <c r="G126" s="17">
        <f>IF(AND(A126&lt;=$C$8, C126&gt;0), MAX(0, C126-E126), 0)</f>
        <v/>
      </c>
    </row>
    <row r="127" ht="20" customHeight="1">
      <c r="A127" s="18" t="n">
        <v>114</v>
      </c>
      <c r="B127" s="19">
        <f>IF(A127&lt;=$C$8, EDATE($C$9, A127), "")</f>
        <v/>
      </c>
      <c r="C127" s="20">
        <f>IF(A127&lt;=$C$8, G126, 0)</f>
        <v/>
      </c>
      <c r="D127" s="20">
        <f>IF(AND(A127&lt;=$C$8, C127&gt;0), IF(A127=$C$8, C127+F127, $G$6), 0)</f>
        <v/>
      </c>
      <c r="E127" s="20">
        <f>IF(AND(A127&lt;=$C$8, C127&gt;0), MIN(C127, D127-F127), 0)</f>
        <v/>
      </c>
      <c r="F127" s="20">
        <f>IF(AND(A127&lt;=$C$8, C127&gt;0), C127*$C$7, 0)</f>
        <v/>
      </c>
      <c r="G127" s="20">
        <f>IF(AND(A127&lt;=$C$8, C127&gt;0), MAX(0, C127-E127), 0)</f>
        <v/>
      </c>
    </row>
    <row r="128" ht="20" customHeight="1">
      <c r="A128" s="15" t="n">
        <v>115</v>
      </c>
      <c r="B128" s="16">
        <f>IF(A128&lt;=$C$8, EDATE($C$9, A128), "")</f>
        <v/>
      </c>
      <c r="C128" s="17">
        <f>IF(A128&lt;=$C$8, G127, 0)</f>
        <v/>
      </c>
      <c r="D128" s="17">
        <f>IF(AND(A128&lt;=$C$8, C128&gt;0), IF(A128=$C$8, C128+F128, $G$6), 0)</f>
        <v/>
      </c>
      <c r="E128" s="17">
        <f>IF(AND(A128&lt;=$C$8, C128&gt;0), MIN(C128, D128-F128), 0)</f>
        <v/>
      </c>
      <c r="F128" s="17">
        <f>IF(AND(A128&lt;=$C$8, C128&gt;0), C128*$C$7, 0)</f>
        <v/>
      </c>
      <c r="G128" s="17">
        <f>IF(AND(A128&lt;=$C$8, C128&gt;0), MAX(0, C128-E128), 0)</f>
        <v/>
      </c>
    </row>
    <row r="129" ht="20" customHeight="1">
      <c r="A129" s="18" t="n">
        <v>116</v>
      </c>
      <c r="B129" s="19">
        <f>IF(A129&lt;=$C$8, EDATE($C$9, A129), "")</f>
        <v/>
      </c>
      <c r="C129" s="20">
        <f>IF(A129&lt;=$C$8, G128, 0)</f>
        <v/>
      </c>
      <c r="D129" s="20">
        <f>IF(AND(A129&lt;=$C$8, C129&gt;0), IF(A129=$C$8, C129+F129, $G$6), 0)</f>
        <v/>
      </c>
      <c r="E129" s="20">
        <f>IF(AND(A129&lt;=$C$8, C129&gt;0), MIN(C129, D129-F129), 0)</f>
        <v/>
      </c>
      <c r="F129" s="20">
        <f>IF(AND(A129&lt;=$C$8, C129&gt;0), C129*$C$7, 0)</f>
        <v/>
      </c>
      <c r="G129" s="20">
        <f>IF(AND(A129&lt;=$C$8, C129&gt;0), MAX(0, C129-E129), 0)</f>
        <v/>
      </c>
    </row>
    <row r="130" ht="20" customHeight="1">
      <c r="A130" s="15" t="n">
        <v>117</v>
      </c>
      <c r="B130" s="16">
        <f>IF(A130&lt;=$C$8, EDATE($C$9, A130), "")</f>
        <v/>
      </c>
      <c r="C130" s="17">
        <f>IF(A130&lt;=$C$8, G129, 0)</f>
        <v/>
      </c>
      <c r="D130" s="17">
        <f>IF(AND(A130&lt;=$C$8, C130&gt;0), IF(A130=$C$8, C130+F130, $G$6), 0)</f>
        <v/>
      </c>
      <c r="E130" s="17">
        <f>IF(AND(A130&lt;=$C$8, C130&gt;0), MIN(C130, D130-F130), 0)</f>
        <v/>
      </c>
      <c r="F130" s="17">
        <f>IF(AND(A130&lt;=$C$8, C130&gt;0), C130*$C$7, 0)</f>
        <v/>
      </c>
      <c r="G130" s="17">
        <f>IF(AND(A130&lt;=$C$8, C130&gt;0), MAX(0, C130-E130), 0)</f>
        <v/>
      </c>
    </row>
    <row r="131" ht="20" customHeight="1">
      <c r="A131" s="18" t="n">
        <v>118</v>
      </c>
      <c r="B131" s="19">
        <f>IF(A131&lt;=$C$8, EDATE($C$9, A131), "")</f>
        <v/>
      </c>
      <c r="C131" s="20">
        <f>IF(A131&lt;=$C$8, G130, 0)</f>
        <v/>
      </c>
      <c r="D131" s="20">
        <f>IF(AND(A131&lt;=$C$8, C131&gt;0), IF(A131=$C$8, C131+F131, $G$6), 0)</f>
        <v/>
      </c>
      <c r="E131" s="20">
        <f>IF(AND(A131&lt;=$C$8, C131&gt;0), MIN(C131, D131-F131), 0)</f>
        <v/>
      </c>
      <c r="F131" s="20">
        <f>IF(AND(A131&lt;=$C$8, C131&gt;0), C131*$C$7, 0)</f>
        <v/>
      </c>
      <c r="G131" s="20">
        <f>IF(AND(A131&lt;=$C$8, C131&gt;0), MAX(0, C131-E131), 0)</f>
        <v/>
      </c>
    </row>
    <row r="132" ht="20" customHeight="1">
      <c r="A132" s="15" t="n">
        <v>119</v>
      </c>
      <c r="B132" s="16">
        <f>IF(A132&lt;=$C$8, EDATE($C$9, A132), "")</f>
        <v/>
      </c>
      <c r="C132" s="17">
        <f>IF(A132&lt;=$C$8, G131, 0)</f>
        <v/>
      </c>
      <c r="D132" s="17">
        <f>IF(AND(A132&lt;=$C$8, C132&gt;0), IF(A132=$C$8, C132+F132, $G$6), 0)</f>
        <v/>
      </c>
      <c r="E132" s="17">
        <f>IF(AND(A132&lt;=$C$8, C132&gt;0), MIN(C132, D132-F132), 0)</f>
        <v/>
      </c>
      <c r="F132" s="17">
        <f>IF(AND(A132&lt;=$C$8, C132&gt;0), C132*$C$7, 0)</f>
        <v/>
      </c>
      <c r="G132" s="17">
        <f>IF(AND(A132&lt;=$C$8, C132&gt;0), MAX(0, C132-E132), 0)</f>
        <v/>
      </c>
    </row>
    <row r="133" ht="20" customHeight="1">
      <c r="A133" s="18" t="n">
        <v>120</v>
      </c>
      <c r="B133" s="19">
        <f>IF(A133&lt;=$C$8, EDATE($C$9, A133), "")</f>
        <v/>
      </c>
      <c r="C133" s="20">
        <f>IF(A133&lt;=$C$8, G132, 0)</f>
        <v/>
      </c>
      <c r="D133" s="20">
        <f>IF(AND(A133&lt;=$C$8, C133&gt;0), IF(A133=$C$8, C133+F133, $G$6), 0)</f>
        <v/>
      </c>
      <c r="E133" s="20">
        <f>IF(AND(A133&lt;=$C$8, C133&gt;0), MIN(C133, D133-F133), 0)</f>
        <v/>
      </c>
      <c r="F133" s="20">
        <f>IF(AND(A133&lt;=$C$8, C133&gt;0), C133*$C$7, 0)</f>
        <v/>
      </c>
      <c r="G133" s="20">
        <f>IF(AND(A133&lt;=$C$8, C133&gt;0), MAX(0, C133-E133), 0)</f>
        <v/>
      </c>
    </row>
    <row r="134" ht="20" customHeight="1">
      <c r="A134" s="15" t="n">
        <v>121</v>
      </c>
      <c r="B134" s="16">
        <f>IF(A134&lt;=$C$8, EDATE($C$9, A134), "")</f>
        <v/>
      </c>
      <c r="C134" s="17">
        <f>IF(A134&lt;=$C$8, G133, 0)</f>
        <v/>
      </c>
      <c r="D134" s="17">
        <f>IF(AND(A134&lt;=$C$8, C134&gt;0), IF(A134=$C$8, C134+F134, $G$6), 0)</f>
        <v/>
      </c>
      <c r="E134" s="17">
        <f>IF(AND(A134&lt;=$C$8, C134&gt;0), MIN(C134, D134-F134), 0)</f>
        <v/>
      </c>
      <c r="F134" s="17">
        <f>IF(AND(A134&lt;=$C$8, C134&gt;0), C134*$C$7, 0)</f>
        <v/>
      </c>
      <c r="G134" s="17">
        <f>IF(AND(A134&lt;=$C$8, C134&gt;0), MAX(0, C134-E134), 0)</f>
        <v/>
      </c>
    </row>
    <row r="135" ht="20" customHeight="1">
      <c r="A135" s="18" t="n">
        <v>122</v>
      </c>
      <c r="B135" s="19">
        <f>IF(A135&lt;=$C$8, EDATE($C$9, A135), "")</f>
        <v/>
      </c>
      <c r="C135" s="20">
        <f>IF(A135&lt;=$C$8, G134, 0)</f>
        <v/>
      </c>
      <c r="D135" s="20">
        <f>IF(AND(A135&lt;=$C$8, C135&gt;0), IF(A135=$C$8, C135+F135, $G$6), 0)</f>
        <v/>
      </c>
      <c r="E135" s="20">
        <f>IF(AND(A135&lt;=$C$8, C135&gt;0), MIN(C135, D135-F135), 0)</f>
        <v/>
      </c>
      <c r="F135" s="20">
        <f>IF(AND(A135&lt;=$C$8, C135&gt;0), C135*$C$7, 0)</f>
        <v/>
      </c>
      <c r="G135" s="20">
        <f>IF(AND(A135&lt;=$C$8, C135&gt;0), MAX(0, C135-E135), 0)</f>
        <v/>
      </c>
    </row>
    <row r="136" ht="20" customHeight="1">
      <c r="A136" s="15" t="n">
        <v>123</v>
      </c>
      <c r="B136" s="16">
        <f>IF(A136&lt;=$C$8, EDATE($C$9, A136), "")</f>
        <v/>
      </c>
      <c r="C136" s="17">
        <f>IF(A136&lt;=$C$8, G135, 0)</f>
        <v/>
      </c>
      <c r="D136" s="17">
        <f>IF(AND(A136&lt;=$C$8, C136&gt;0), IF(A136=$C$8, C136+F136, $G$6), 0)</f>
        <v/>
      </c>
      <c r="E136" s="17">
        <f>IF(AND(A136&lt;=$C$8, C136&gt;0), MIN(C136, D136-F136), 0)</f>
        <v/>
      </c>
      <c r="F136" s="17">
        <f>IF(AND(A136&lt;=$C$8, C136&gt;0), C136*$C$7, 0)</f>
        <v/>
      </c>
      <c r="G136" s="17">
        <f>IF(AND(A136&lt;=$C$8, C136&gt;0), MAX(0, C136-E136), 0)</f>
        <v/>
      </c>
    </row>
    <row r="137" ht="20" customHeight="1">
      <c r="A137" s="18" t="n">
        <v>124</v>
      </c>
      <c r="B137" s="19">
        <f>IF(A137&lt;=$C$8, EDATE($C$9, A137), "")</f>
        <v/>
      </c>
      <c r="C137" s="20">
        <f>IF(A137&lt;=$C$8, G136, 0)</f>
        <v/>
      </c>
      <c r="D137" s="20">
        <f>IF(AND(A137&lt;=$C$8, C137&gt;0), IF(A137=$C$8, C137+F137, $G$6), 0)</f>
        <v/>
      </c>
      <c r="E137" s="20">
        <f>IF(AND(A137&lt;=$C$8, C137&gt;0), MIN(C137, D137-F137), 0)</f>
        <v/>
      </c>
      <c r="F137" s="20">
        <f>IF(AND(A137&lt;=$C$8, C137&gt;0), C137*$C$7, 0)</f>
        <v/>
      </c>
      <c r="G137" s="20">
        <f>IF(AND(A137&lt;=$C$8, C137&gt;0), MAX(0, C137-E137), 0)</f>
        <v/>
      </c>
    </row>
    <row r="138" ht="20" customHeight="1">
      <c r="A138" s="15" t="n">
        <v>125</v>
      </c>
      <c r="B138" s="16">
        <f>IF(A138&lt;=$C$8, EDATE($C$9, A138), "")</f>
        <v/>
      </c>
      <c r="C138" s="17">
        <f>IF(A138&lt;=$C$8, G137, 0)</f>
        <v/>
      </c>
      <c r="D138" s="17">
        <f>IF(AND(A138&lt;=$C$8, C138&gt;0), IF(A138=$C$8, C138+F138, $G$6), 0)</f>
        <v/>
      </c>
      <c r="E138" s="17">
        <f>IF(AND(A138&lt;=$C$8, C138&gt;0), MIN(C138, D138-F138), 0)</f>
        <v/>
      </c>
      <c r="F138" s="17">
        <f>IF(AND(A138&lt;=$C$8, C138&gt;0), C138*$C$7, 0)</f>
        <v/>
      </c>
      <c r="G138" s="17">
        <f>IF(AND(A138&lt;=$C$8, C138&gt;0), MAX(0, C138-E138), 0)</f>
        <v/>
      </c>
    </row>
    <row r="139" ht="20" customHeight="1">
      <c r="A139" s="18" t="n">
        <v>126</v>
      </c>
      <c r="B139" s="19">
        <f>IF(A139&lt;=$C$8, EDATE($C$9, A139), "")</f>
        <v/>
      </c>
      <c r="C139" s="20">
        <f>IF(A139&lt;=$C$8, G138, 0)</f>
        <v/>
      </c>
      <c r="D139" s="20">
        <f>IF(AND(A139&lt;=$C$8, C139&gt;0), IF(A139=$C$8, C139+F139, $G$6), 0)</f>
        <v/>
      </c>
      <c r="E139" s="20">
        <f>IF(AND(A139&lt;=$C$8, C139&gt;0), MIN(C139, D139-F139), 0)</f>
        <v/>
      </c>
      <c r="F139" s="20">
        <f>IF(AND(A139&lt;=$C$8, C139&gt;0), C139*$C$7, 0)</f>
        <v/>
      </c>
      <c r="G139" s="20">
        <f>IF(AND(A139&lt;=$C$8, C139&gt;0), MAX(0, C139-E139), 0)</f>
        <v/>
      </c>
    </row>
    <row r="140" ht="20" customHeight="1">
      <c r="A140" s="15" t="n">
        <v>127</v>
      </c>
      <c r="B140" s="16">
        <f>IF(A140&lt;=$C$8, EDATE($C$9, A140), "")</f>
        <v/>
      </c>
      <c r="C140" s="17">
        <f>IF(A140&lt;=$C$8, G139, 0)</f>
        <v/>
      </c>
      <c r="D140" s="17">
        <f>IF(AND(A140&lt;=$C$8, C140&gt;0), IF(A140=$C$8, C140+F140, $G$6), 0)</f>
        <v/>
      </c>
      <c r="E140" s="17">
        <f>IF(AND(A140&lt;=$C$8, C140&gt;0), MIN(C140, D140-F140), 0)</f>
        <v/>
      </c>
      <c r="F140" s="17">
        <f>IF(AND(A140&lt;=$C$8, C140&gt;0), C140*$C$7, 0)</f>
        <v/>
      </c>
      <c r="G140" s="17">
        <f>IF(AND(A140&lt;=$C$8, C140&gt;0), MAX(0, C140-E140), 0)</f>
        <v/>
      </c>
    </row>
    <row r="141" ht="20" customHeight="1">
      <c r="A141" s="18" t="n">
        <v>128</v>
      </c>
      <c r="B141" s="19">
        <f>IF(A141&lt;=$C$8, EDATE($C$9, A141), "")</f>
        <v/>
      </c>
      <c r="C141" s="20">
        <f>IF(A141&lt;=$C$8, G140, 0)</f>
        <v/>
      </c>
      <c r="D141" s="20">
        <f>IF(AND(A141&lt;=$C$8, C141&gt;0), IF(A141=$C$8, C141+F141, $G$6), 0)</f>
        <v/>
      </c>
      <c r="E141" s="20">
        <f>IF(AND(A141&lt;=$C$8, C141&gt;0), MIN(C141, D141-F141), 0)</f>
        <v/>
      </c>
      <c r="F141" s="20">
        <f>IF(AND(A141&lt;=$C$8, C141&gt;0), C141*$C$7, 0)</f>
        <v/>
      </c>
      <c r="G141" s="20">
        <f>IF(AND(A141&lt;=$C$8, C141&gt;0), MAX(0, C141-E141), 0)</f>
        <v/>
      </c>
    </row>
    <row r="142" ht="20" customHeight="1">
      <c r="A142" s="15" t="n">
        <v>129</v>
      </c>
      <c r="B142" s="16">
        <f>IF(A142&lt;=$C$8, EDATE($C$9, A142), "")</f>
        <v/>
      </c>
      <c r="C142" s="17">
        <f>IF(A142&lt;=$C$8, G141, 0)</f>
        <v/>
      </c>
      <c r="D142" s="17">
        <f>IF(AND(A142&lt;=$C$8, C142&gt;0), IF(A142=$C$8, C142+F142, $G$6), 0)</f>
        <v/>
      </c>
      <c r="E142" s="17">
        <f>IF(AND(A142&lt;=$C$8, C142&gt;0), MIN(C142, D142-F142), 0)</f>
        <v/>
      </c>
      <c r="F142" s="17">
        <f>IF(AND(A142&lt;=$C$8, C142&gt;0), C142*$C$7, 0)</f>
        <v/>
      </c>
      <c r="G142" s="17">
        <f>IF(AND(A142&lt;=$C$8, C142&gt;0), MAX(0, C142-E142), 0)</f>
        <v/>
      </c>
    </row>
    <row r="143" ht="20" customHeight="1">
      <c r="A143" s="18" t="n">
        <v>130</v>
      </c>
      <c r="B143" s="19">
        <f>IF(A143&lt;=$C$8, EDATE($C$9, A143), "")</f>
        <v/>
      </c>
      <c r="C143" s="20">
        <f>IF(A143&lt;=$C$8, G142, 0)</f>
        <v/>
      </c>
      <c r="D143" s="20">
        <f>IF(AND(A143&lt;=$C$8, C143&gt;0), IF(A143=$C$8, C143+F143, $G$6), 0)</f>
        <v/>
      </c>
      <c r="E143" s="20">
        <f>IF(AND(A143&lt;=$C$8, C143&gt;0), MIN(C143, D143-F143), 0)</f>
        <v/>
      </c>
      <c r="F143" s="20">
        <f>IF(AND(A143&lt;=$C$8, C143&gt;0), C143*$C$7, 0)</f>
        <v/>
      </c>
      <c r="G143" s="20">
        <f>IF(AND(A143&lt;=$C$8, C143&gt;0), MAX(0, C143-E143), 0)</f>
        <v/>
      </c>
    </row>
    <row r="144" ht="20" customHeight="1">
      <c r="A144" s="15" t="n">
        <v>131</v>
      </c>
      <c r="B144" s="16">
        <f>IF(A144&lt;=$C$8, EDATE($C$9, A144), "")</f>
        <v/>
      </c>
      <c r="C144" s="17">
        <f>IF(A144&lt;=$C$8, G143, 0)</f>
        <v/>
      </c>
      <c r="D144" s="17">
        <f>IF(AND(A144&lt;=$C$8, C144&gt;0), IF(A144=$C$8, C144+F144, $G$6), 0)</f>
        <v/>
      </c>
      <c r="E144" s="17">
        <f>IF(AND(A144&lt;=$C$8, C144&gt;0), MIN(C144, D144-F144), 0)</f>
        <v/>
      </c>
      <c r="F144" s="17">
        <f>IF(AND(A144&lt;=$C$8, C144&gt;0), C144*$C$7, 0)</f>
        <v/>
      </c>
      <c r="G144" s="17">
        <f>IF(AND(A144&lt;=$C$8, C144&gt;0), MAX(0, C144-E144), 0)</f>
        <v/>
      </c>
    </row>
    <row r="145" ht="20" customHeight="1">
      <c r="A145" s="18" t="n">
        <v>132</v>
      </c>
      <c r="B145" s="19">
        <f>IF(A145&lt;=$C$8, EDATE($C$9, A145), "")</f>
        <v/>
      </c>
      <c r="C145" s="20">
        <f>IF(A145&lt;=$C$8, G144, 0)</f>
        <v/>
      </c>
      <c r="D145" s="20">
        <f>IF(AND(A145&lt;=$C$8, C145&gt;0), IF(A145=$C$8, C145+F145, $G$6), 0)</f>
        <v/>
      </c>
      <c r="E145" s="20">
        <f>IF(AND(A145&lt;=$C$8, C145&gt;0), MIN(C145, D145-F145), 0)</f>
        <v/>
      </c>
      <c r="F145" s="20">
        <f>IF(AND(A145&lt;=$C$8, C145&gt;0), C145*$C$7, 0)</f>
        <v/>
      </c>
      <c r="G145" s="20">
        <f>IF(AND(A145&lt;=$C$8, C145&gt;0), MAX(0, C145-E145), 0)</f>
        <v/>
      </c>
    </row>
    <row r="146" ht="20" customHeight="1">
      <c r="A146" s="15" t="n">
        <v>133</v>
      </c>
      <c r="B146" s="16">
        <f>IF(A146&lt;=$C$8, EDATE($C$9, A146), "")</f>
        <v/>
      </c>
      <c r="C146" s="17">
        <f>IF(A146&lt;=$C$8, G145, 0)</f>
        <v/>
      </c>
      <c r="D146" s="17">
        <f>IF(AND(A146&lt;=$C$8, C146&gt;0), IF(A146=$C$8, C146+F146, $G$6), 0)</f>
        <v/>
      </c>
      <c r="E146" s="17">
        <f>IF(AND(A146&lt;=$C$8, C146&gt;0), MIN(C146, D146-F146), 0)</f>
        <v/>
      </c>
      <c r="F146" s="17">
        <f>IF(AND(A146&lt;=$C$8, C146&gt;0), C146*$C$7, 0)</f>
        <v/>
      </c>
      <c r="G146" s="17">
        <f>IF(AND(A146&lt;=$C$8, C146&gt;0), MAX(0, C146-E146), 0)</f>
        <v/>
      </c>
    </row>
    <row r="147" ht="20" customHeight="1">
      <c r="A147" s="18" t="n">
        <v>134</v>
      </c>
      <c r="B147" s="19">
        <f>IF(A147&lt;=$C$8, EDATE($C$9, A147), "")</f>
        <v/>
      </c>
      <c r="C147" s="20">
        <f>IF(A147&lt;=$C$8, G146, 0)</f>
        <v/>
      </c>
      <c r="D147" s="20">
        <f>IF(AND(A147&lt;=$C$8, C147&gt;0), IF(A147=$C$8, C147+F147, $G$6), 0)</f>
        <v/>
      </c>
      <c r="E147" s="20">
        <f>IF(AND(A147&lt;=$C$8, C147&gt;0), MIN(C147, D147-F147), 0)</f>
        <v/>
      </c>
      <c r="F147" s="20">
        <f>IF(AND(A147&lt;=$C$8, C147&gt;0), C147*$C$7, 0)</f>
        <v/>
      </c>
      <c r="G147" s="20">
        <f>IF(AND(A147&lt;=$C$8, C147&gt;0), MAX(0, C147-E147), 0)</f>
        <v/>
      </c>
    </row>
    <row r="148" ht="20" customHeight="1">
      <c r="A148" s="15" t="n">
        <v>135</v>
      </c>
      <c r="B148" s="16">
        <f>IF(A148&lt;=$C$8, EDATE($C$9, A148), "")</f>
        <v/>
      </c>
      <c r="C148" s="17">
        <f>IF(A148&lt;=$C$8, G147, 0)</f>
        <v/>
      </c>
      <c r="D148" s="17">
        <f>IF(AND(A148&lt;=$C$8, C148&gt;0), IF(A148=$C$8, C148+F148, $G$6), 0)</f>
        <v/>
      </c>
      <c r="E148" s="17">
        <f>IF(AND(A148&lt;=$C$8, C148&gt;0), MIN(C148, D148-F148), 0)</f>
        <v/>
      </c>
      <c r="F148" s="17">
        <f>IF(AND(A148&lt;=$C$8, C148&gt;0), C148*$C$7, 0)</f>
        <v/>
      </c>
      <c r="G148" s="17">
        <f>IF(AND(A148&lt;=$C$8, C148&gt;0), MAX(0, C148-E148), 0)</f>
        <v/>
      </c>
    </row>
    <row r="149" ht="20" customHeight="1">
      <c r="A149" s="18" t="n">
        <v>136</v>
      </c>
      <c r="B149" s="19">
        <f>IF(A149&lt;=$C$8, EDATE($C$9, A149), "")</f>
        <v/>
      </c>
      <c r="C149" s="20">
        <f>IF(A149&lt;=$C$8, G148, 0)</f>
        <v/>
      </c>
      <c r="D149" s="20">
        <f>IF(AND(A149&lt;=$C$8, C149&gt;0), IF(A149=$C$8, C149+F149, $G$6), 0)</f>
        <v/>
      </c>
      <c r="E149" s="20">
        <f>IF(AND(A149&lt;=$C$8, C149&gt;0), MIN(C149, D149-F149), 0)</f>
        <v/>
      </c>
      <c r="F149" s="20">
        <f>IF(AND(A149&lt;=$C$8, C149&gt;0), C149*$C$7, 0)</f>
        <v/>
      </c>
      <c r="G149" s="20">
        <f>IF(AND(A149&lt;=$C$8, C149&gt;0), MAX(0, C149-E149), 0)</f>
        <v/>
      </c>
    </row>
    <row r="150" ht="20" customHeight="1">
      <c r="A150" s="15" t="n">
        <v>137</v>
      </c>
      <c r="B150" s="16">
        <f>IF(A150&lt;=$C$8, EDATE($C$9, A150), "")</f>
        <v/>
      </c>
      <c r="C150" s="17">
        <f>IF(A150&lt;=$C$8, G149, 0)</f>
        <v/>
      </c>
      <c r="D150" s="17">
        <f>IF(AND(A150&lt;=$C$8, C150&gt;0), IF(A150=$C$8, C150+F150, $G$6), 0)</f>
        <v/>
      </c>
      <c r="E150" s="17">
        <f>IF(AND(A150&lt;=$C$8, C150&gt;0), MIN(C150, D150-F150), 0)</f>
        <v/>
      </c>
      <c r="F150" s="17">
        <f>IF(AND(A150&lt;=$C$8, C150&gt;0), C150*$C$7, 0)</f>
        <v/>
      </c>
      <c r="G150" s="17">
        <f>IF(AND(A150&lt;=$C$8, C150&gt;0), MAX(0, C150-E150), 0)</f>
        <v/>
      </c>
    </row>
    <row r="151" ht="20" customHeight="1">
      <c r="A151" s="18" t="n">
        <v>138</v>
      </c>
      <c r="B151" s="19">
        <f>IF(A151&lt;=$C$8, EDATE($C$9, A151), "")</f>
        <v/>
      </c>
      <c r="C151" s="20">
        <f>IF(A151&lt;=$C$8, G150, 0)</f>
        <v/>
      </c>
      <c r="D151" s="20">
        <f>IF(AND(A151&lt;=$C$8, C151&gt;0), IF(A151=$C$8, C151+F151, $G$6), 0)</f>
        <v/>
      </c>
      <c r="E151" s="20">
        <f>IF(AND(A151&lt;=$C$8, C151&gt;0), MIN(C151, D151-F151), 0)</f>
        <v/>
      </c>
      <c r="F151" s="20">
        <f>IF(AND(A151&lt;=$C$8, C151&gt;0), C151*$C$7, 0)</f>
        <v/>
      </c>
      <c r="G151" s="20">
        <f>IF(AND(A151&lt;=$C$8, C151&gt;0), MAX(0, C151-E151), 0)</f>
        <v/>
      </c>
    </row>
    <row r="152" ht="20" customHeight="1">
      <c r="A152" s="15" t="n">
        <v>139</v>
      </c>
      <c r="B152" s="16">
        <f>IF(A152&lt;=$C$8, EDATE($C$9, A152), "")</f>
        <v/>
      </c>
      <c r="C152" s="17">
        <f>IF(A152&lt;=$C$8, G151, 0)</f>
        <v/>
      </c>
      <c r="D152" s="17">
        <f>IF(AND(A152&lt;=$C$8, C152&gt;0), IF(A152=$C$8, C152+F152, $G$6), 0)</f>
        <v/>
      </c>
      <c r="E152" s="17">
        <f>IF(AND(A152&lt;=$C$8, C152&gt;0), MIN(C152, D152-F152), 0)</f>
        <v/>
      </c>
      <c r="F152" s="17">
        <f>IF(AND(A152&lt;=$C$8, C152&gt;0), C152*$C$7, 0)</f>
        <v/>
      </c>
      <c r="G152" s="17">
        <f>IF(AND(A152&lt;=$C$8, C152&gt;0), MAX(0, C152-E152), 0)</f>
        <v/>
      </c>
    </row>
    <row r="153" ht="20" customHeight="1">
      <c r="A153" s="18" t="n">
        <v>140</v>
      </c>
      <c r="B153" s="19">
        <f>IF(A153&lt;=$C$8, EDATE($C$9, A153), "")</f>
        <v/>
      </c>
      <c r="C153" s="20">
        <f>IF(A153&lt;=$C$8, G152, 0)</f>
        <v/>
      </c>
      <c r="D153" s="20">
        <f>IF(AND(A153&lt;=$C$8, C153&gt;0), IF(A153=$C$8, C153+F153, $G$6), 0)</f>
        <v/>
      </c>
      <c r="E153" s="20">
        <f>IF(AND(A153&lt;=$C$8, C153&gt;0), MIN(C153, D153-F153), 0)</f>
        <v/>
      </c>
      <c r="F153" s="20">
        <f>IF(AND(A153&lt;=$C$8, C153&gt;0), C153*$C$7, 0)</f>
        <v/>
      </c>
      <c r="G153" s="20">
        <f>IF(AND(A153&lt;=$C$8, C153&gt;0), MAX(0, C153-E153), 0)</f>
        <v/>
      </c>
    </row>
    <row r="154" ht="20" customHeight="1">
      <c r="A154" s="15" t="n">
        <v>141</v>
      </c>
      <c r="B154" s="16">
        <f>IF(A154&lt;=$C$8, EDATE($C$9, A154), "")</f>
        <v/>
      </c>
      <c r="C154" s="17">
        <f>IF(A154&lt;=$C$8, G153, 0)</f>
        <v/>
      </c>
      <c r="D154" s="17">
        <f>IF(AND(A154&lt;=$C$8, C154&gt;0), IF(A154=$C$8, C154+F154, $G$6), 0)</f>
        <v/>
      </c>
      <c r="E154" s="17">
        <f>IF(AND(A154&lt;=$C$8, C154&gt;0), MIN(C154, D154-F154), 0)</f>
        <v/>
      </c>
      <c r="F154" s="17">
        <f>IF(AND(A154&lt;=$C$8, C154&gt;0), C154*$C$7, 0)</f>
        <v/>
      </c>
      <c r="G154" s="17">
        <f>IF(AND(A154&lt;=$C$8, C154&gt;0), MAX(0, C154-E154), 0)</f>
        <v/>
      </c>
    </row>
    <row r="155" ht="20" customHeight="1">
      <c r="A155" s="18" t="n">
        <v>142</v>
      </c>
      <c r="B155" s="19">
        <f>IF(A155&lt;=$C$8, EDATE($C$9, A155), "")</f>
        <v/>
      </c>
      <c r="C155" s="20">
        <f>IF(A155&lt;=$C$8, G154, 0)</f>
        <v/>
      </c>
      <c r="D155" s="20">
        <f>IF(AND(A155&lt;=$C$8, C155&gt;0), IF(A155=$C$8, C155+F155, $G$6), 0)</f>
        <v/>
      </c>
      <c r="E155" s="20">
        <f>IF(AND(A155&lt;=$C$8, C155&gt;0), MIN(C155, D155-F155), 0)</f>
        <v/>
      </c>
      <c r="F155" s="20">
        <f>IF(AND(A155&lt;=$C$8, C155&gt;0), C155*$C$7, 0)</f>
        <v/>
      </c>
      <c r="G155" s="20">
        <f>IF(AND(A155&lt;=$C$8, C155&gt;0), MAX(0, C155-E155), 0)</f>
        <v/>
      </c>
    </row>
    <row r="156" ht="20" customHeight="1">
      <c r="A156" s="15" t="n">
        <v>143</v>
      </c>
      <c r="B156" s="16">
        <f>IF(A156&lt;=$C$8, EDATE($C$9, A156), "")</f>
        <v/>
      </c>
      <c r="C156" s="17">
        <f>IF(A156&lt;=$C$8, G155, 0)</f>
        <v/>
      </c>
      <c r="D156" s="17">
        <f>IF(AND(A156&lt;=$C$8, C156&gt;0), IF(A156=$C$8, C156+F156, $G$6), 0)</f>
        <v/>
      </c>
      <c r="E156" s="17">
        <f>IF(AND(A156&lt;=$C$8, C156&gt;0), MIN(C156, D156-F156), 0)</f>
        <v/>
      </c>
      <c r="F156" s="17">
        <f>IF(AND(A156&lt;=$C$8, C156&gt;0), C156*$C$7, 0)</f>
        <v/>
      </c>
      <c r="G156" s="17">
        <f>IF(AND(A156&lt;=$C$8, C156&gt;0), MAX(0, C156-E156), 0)</f>
        <v/>
      </c>
    </row>
    <row r="157" ht="20" customHeight="1">
      <c r="A157" s="18" t="n">
        <v>144</v>
      </c>
      <c r="B157" s="19">
        <f>IF(A157&lt;=$C$8, EDATE($C$9, A157), "")</f>
        <v/>
      </c>
      <c r="C157" s="20">
        <f>IF(A157&lt;=$C$8, G156, 0)</f>
        <v/>
      </c>
      <c r="D157" s="20">
        <f>IF(AND(A157&lt;=$C$8, C157&gt;0), IF(A157=$C$8, C157+F157, $G$6), 0)</f>
        <v/>
      </c>
      <c r="E157" s="20">
        <f>IF(AND(A157&lt;=$C$8, C157&gt;0), MIN(C157, D157-F157), 0)</f>
        <v/>
      </c>
      <c r="F157" s="20">
        <f>IF(AND(A157&lt;=$C$8, C157&gt;0), C157*$C$7, 0)</f>
        <v/>
      </c>
      <c r="G157" s="20">
        <f>IF(AND(A157&lt;=$C$8, C157&gt;0), MAX(0, C157-E157), 0)</f>
        <v/>
      </c>
    </row>
    <row r="158" ht="20" customHeight="1">
      <c r="A158" s="15" t="n">
        <v>145</v>
      </c>
      <c r="B158" s="16">
        <f>IF(A158&lt;=$C$8, EDATE($C$9, A158), "")</f>
        <v/>
      </c>
      <c r="C158" s="17">
        <f>IF(A158&lt;=$C$8, G157, 0)</f>
        <v/>
      </c>
      <c r="D158" s="17">
        <f>IF(AND(A158&lt;=$C$8, C158&gt;0), IF(A158=$C$8, C158+F158, $G$6), 0)</f>
        <v/>
      </c>
      <c r="E158" s="17">
        <f>IF(AND(A158&lt;=$C$8, C158&gt;0), MIN(C158, D158-F158), 0)</f>
        <v/>
      </c>
      <c r="F158" s="17">
        <f>IF(AND(A158&lt;=$C$8, C158&gt;0), C158*$C$7, 0)</f>
        <v/>
      </c>
      <c r="G158" s="17">
        <f>IF(AND(A158&lt;=$C$8, C158&gt;0), MAX(0, C158-E158), 0)</f>
        <v/>
      </c>
    </row>
    <row r="159" ht="20" customHeight="1">
      <c r="A159" s="18" t="n">
        <v>146</v>
      </c>
      <c r="B159" s="19">
        <f>IF(A159&lt;=$C$8, EDATE($C$9, A159), "")</f>
        <v/>
      </c>
      <c r="C159" s="20">
        <f>IF(A159&lt;=$C$8, G158, 0)</f>
        <v/>
      </c>
      <c r="D159" s="20">
        <f>IF(AND(A159&lt;=$C$8, C159&gt;0), IF(A159=$C$8, C159+F159, $G$6), 0)</f>
        <v/>
      </c>
      <c r="E159" s="20">
        <f>IF(AND(A159&lt;=$C$8, C159&gt;0), MIN(C159, D159-F159), 0)</f>
        <v/>
      </c>
      <c r="F159" s="20">
        <f>IF(AND(A159&lt;=$C$8, C159&gt;0), C159*$C$7, 0)</f>
        <v/>
      </c>
      <c r="G159" s="20">
        <f>IF(AND(A159&lt;=$C$8, C159&gt;0), MAX(0, C159-E159), 0)</f>
        <v/>
      </c>
    </row>
    <row r="160" ht="20" customHeight="1">
      <c r="A160" s="15" t="n">
        <v>147</v>
      </c>
      <c r="B160" s="16">
        <f>IF(A160&lt;=$C$8, EDATE($C$9, A160), "")</f>
        <v/>
      </c>
      <c r="C160" s="17">
        <f>IF(A160&lt;=$C$8, G159, 0)</f>
        <v/>
      </c>
      <c r="D160" s="17">
        <f>IF(AND(A160&lt;=$C$8, C160&gt;0), IF(A160=$C$8, C160+F160, $G$6), 0)</f>
        <v/>
      </c>
      <c r="E160" s="17">
        <f>IF(AND(A160&lt;=$C$8, C160&gt;0), MIN(C160, D160-F160), 0)</f>
        <v/>
      </c>
      <c r="F160" s="17">
        <f>IF(AND(A160&lt;=$C$8, C160&gt;0), C160*$C$7, 0)</f>
        <v/>
      </c>
      <c r="G160" s="17">
        <f>IF(AND(A160&lt;=$C$8, C160&gt;0), MAX(0, C160-E160), 0)</f>
        <v/>
      </c>
    </row>
    <row r="161" ht="20" customHeight="1">
      <c r="A161" s="18" t="n">
        <v>148</v>
      </c>
      <c r="B161" s="19">
        <f>IF(A161&lt;=$C$8, EDATE($C$9, A161), "")</f>
        <v/>
      </c>
      <c r="C161" s="20">
        <f>IF(A161&lt;=$C$8, G160, 0)</f>
        <v/>
      </c>
      <c r="D161" s="20">
        <f>IF(AND(A161&lt;=$C$8, C161&gt;0), IF(A161=$C$8, C161+F161, $G$6), 0)</f>
        <v/>
      </c>
      <c r="E161" s="20">
        <f>IF(AND(A161&lt;=$C$8, C161&gt;0), MIN(C161, D161-F161), 0)</f>
        <v/>
      </c>
      <c r="F161" s="20">
        <f>IF(AND(A161&lt;=$C$8, C161&gt;0), C161*$C$7, 0)</f>
        <v/>
      </c>
      <c r="G161" s="20">
        <f>IF(AND(A161&lt;=$C$8, C161&gt;0), MAX(0, C161-E161), 0)</f>
        <v/>
      </c>
    </row>
    <row r="162" ht="20" customHeight="1">
      <c r="A162" s="15" t="n">
        <v>149</v>
      </c>
      <c r="B162" s="16">
        <f>IF(A162&lt;=$C$8, EDATE($C$9, A162), "")</f>
        <v/>
      </c>
      <c r="C162" s="17">
        <f>IF(A162&lt;=$C$8, G161, 0)</f>
        <v/>
      </c>
      <c r="D162" s="17">
        <f>IF(AND(A162&lt;=$C$8, C162&gt;0), IF(A162=$C$8, C162+F162, $G$6), 0)</f>
        <v/>
      </c>
      <c r="E162" s="17">
        <f>IF(AND(A162&lt;=$C$8, C162&gt;0), MIN(C162, D162-F162), 0)</f>
        <v/>
      </c>
      <c r="F162" s="17">
        <f>IF(AND(A162&lt;=$C$8, C162&gt;0), C162*$C$7, 0)</f>
        <v/>
      </c>
      <c r="G162" s="17">
        <f>IF(AND(A162&lt;=$C$8, C162&gt;0), MAX(0, C162-E162), 0)</f>
        <v/>
      </c>
    </row>
    <row r="163" ht="20" customHeight="1">
      <c r="A163" s="18" t="n">
        <v>150</v>
      </c>
      <c r="B163" s="19">
        <f>IF(A163&lt;=$C$8, EDATE($C$9, A163), "")</f>
        <v/>
      </c>
      <c r="C163" s="20">
        <f>IF(A163&lt;=$C$8, G162, 0)</f>
        <v/>
      </c>
      <c r="D163" s="20">
        <f>IF(AND(A163&lt;=$C$8, C163&gt;0), IF(A163=$C$8, C163+F163, $G$6), 0)</f>
        <v/>
      </c>
      <c r="E163" s="20">
        <f>IF(AND(A163&lt;=$C$8, C163&gt;0), MIN(C163, D163-F163), 0)</f>
        <v/>
      </c>
      <c r="F163" s="20">
        <f>IF(AND(A163&lt;=$C$8, C163&gt;0), C163*$C$7, 0)</f>
        <v/>
      </c>
      <c r="G163" s="20">
        <f>IF(AND(A163&lt;=$C$8, C163&gt;0), MAX(0, C163-E163), 0)</f>
        <v/>
      </c>
    </row>
    <row r="164" ht="20" customHeight="1">
      <c r="A164" s="15" t="n">
        <v>151</v>
      </c>
      <c r="B164" s="16">
        <f>IF(A164&lt;=$C$8, EDATE($C$9, A164), "")</f>
        <v/>
      </c>
      <c r="C164" s="17">
        <f>IF(A164&lt;=$C$8, G163, 0)</f>
        <v/>
      </c>
      <c r="D164" s="17">
        <f>IF(AND(A164&lt;=$C$8, C164&gt;0), IF(A164=$C$8, C164+F164, $G$6), 0)</f>
        <v/>
      </c>
      <c r="E164" s="17">
        <f>IF(AND(A164&lt;=$C$8, C164&gt;0), MIN(C164, D164-F164), 0)</f>
        <v/>
      </c>
      <c r="F164" s="17">
        <f>IF(AND(A164&lt;=$C$8, C164&gt;0), C164*$C$7, 0)</f>
        <v/>
      </c>
      <c r="G164" s="17">
        <f>IF(AND(A164&lt;=$C$8, C164&gt;0), MAX(0, C164-E164), 0)</f>
        <v/>
      </c>
    </row>
    <row r="165" ht="20" customHeight="1">
      <c r="A165" s="18" t="n">
        <v>152</v>
      </c>
      <c r="B165" s="19">
        <f>IF(A165&lt;=$C$8, EDATE($C$9, A165), "")</f>
        <v/>
      </c>
      <c r="C165" s="20">
        <f>IF(A165&lt;=$C$8, G164, 0)</f>
        <v/>
      </c>
      <c r="D165" s="20">
        <f>IF(AND(A165&lt;=$C$8, C165&gt;0), IF(A165=$C$8, C165+F165, $G$6), 0)</f>
        <v/>
      </c>
      <c r="E165" s="20">
        <f>IF(AND(A165&lt;=$C$8, C165&gt;0), MIN(C165, D165-F165), 0)</f>
        <v/>
      </c>
      <c r="F165" s="20">
        <f>IF(AND(A165&lt;=$C$8, C165&gt;0), C165*$C$7, 0)</f>
        <v/>
      </c>
      <c r="G165" s="20">
        <f>IF(AND(A165&lt;=$C$8, C165&gt;0), MAX(0, C165-E165), 0)</f>
        <v/>
      </c>
    </row>
    <row r="166" ht="20" customHeight="1">
      <c r="A166" s="15" t="n">
        <v>153</v>
      </c>
      <c r="B166" s="16">
        <f>IF(A166&lt;=$C$8, EDATE($C$9, A166), "")</f>
        <v/>
      </c>
      <c r="C166" s="17">
        <f>IF(A166&lt;=$C$8, G165, 0)</f>
        <v/>
      </c>
      <c r="D166" s="17">
        <f>IF(AND(A166&lt;=$C$8, C166&gt;0), IF(A166=$C$8, C166+F166, $G$6), 0)</f>
        <v/>
      </c>
      <c r="E166" s="17">
        <f>IF(AND(A166&lt;=$C$8, C166&gt;0), MIN(C166, D166-F166), 0)</f>
        <v/>
      </c>
      <c r="F166" s="17">
        <f>IF(AND(A166&lt;=$C$8, C166&gt;0), C166*$C$7, 0)</f>
        <v/>
      </c>
      <c r="G166" s="17">
        <f>IF(AND(A166&lt;=$C$8, C166&gt;0), MAX(0, C166-E166), 0)</f>
        <v/>
      </c>
    </row>
    <row r="167" ht="20" customHeight="1">
      <c r="A167" s="18" t="n">
        <v>154</v>
      </c>
      <c r="B167" s="19">
        <f>IF(A167&lt;=$C$8, EDATE($C$9, A167), "")</f>
        <v/>
      </c>
      <c r="C167" s="20">
        <f>IF(A167&lt;=$C$8, G166, 0)</f>
        <v/>
      </c>
      <c r="D167" s="20">
        <f>IF(AND(A167&lt;=$C$8, C167&gt;0), IF(A167=$C$8, C167+F167, $G$6), 0)</f>
        <v/>
      </c>
      <c r="E167" s="20">
        <f>IF(AND(A167&lt;=$C$8, C167&gt;0), MIN(C167, D167-F167), 0)</f>
        <v/>
      </c>
      <c r="F167" s="20">
        <f>IF(AND(A167&lt;=$C$8, C167&gt;0), C167*$C$7, 0)</f>
        <v/>
      </c>
      <c r="G167" s="20">
        <f>IF(AND(A167&lt;=$C$8, C167&gt;0), MAX(0, C167-E167), 0)</f>
        <v/>
      </c>
    </row>
    <row r="168" ht="20" customHeight="1">
      <c r="A168" s="15" t="n">
        <v>155</v>
      </c>
      <c r="B168" s="16">
        <f>IF(A168&lt;=$C$8, EDATE($C$9, A168), "")</f>
        <v/>
      </c>
      <c r="C168" s="17">
        <f>IF(A168&lt;=$C$8, G167, 0)</f>
        <v/>
      </c>
      <c r="D168" s="17">
        <f>IF(AND(A168&lt;=$C$8, C168&gt;0), IF(A168=$C$8, C168+F168, $G$6), 0)</f>
        <v/>
      </c>
      <c r="E168" s="17">
        <f>IF(AND(A168&lt;=$C$8, C168&gt;0), MIN(C168, D168-F168), 0)</f>
        <v/>
      </c>
      <c r="F168" s="17">
        <f>IF(AND(A168&lt;=$C$8, C168&gt;0), C168*$C$7, 0)</f>
        <v/>
      </c>
      <c r="G168" s="17">
        <f>IF(AND(A168&lt;=$C$8, C168&gt;0), MAX(0, C168-E168), 0)</f>
        <v/>
      </c>
    </row>
    <row r="169" ht="20" customHeight="1">
      <c r="A169" s="18" t="n">
        <v>156</v>
      </c>
      <c r="B169" s="19">
        <f>IF(A169&lt;=$C$8, EDATE($C$9, A169), "")</f>
        <v/>
      </c>
      <c r="C169" s="20">
        <f>IF(A169&lt;=$C$8, G168, 0)</f>
        <v/>
      </c>
      <c r="D169" s="20">
        <f>IF(AND(A169&lt;=$C$8, C169&gt;0), IF(A169=$C$8, C169+F169, $G$6), 0)</f>
        <v/>
      </c>
      <c r="E169" s="20">
        <f>IF(AND(A169&lt;=$C$8, C169&gt;0), MIN(C169, D169-F169), 0)</f>
        <v/>
      </c>
      <c r="F169" s="20">
        <f>IF(AND(A169&lt;=$C$8, C169&gt;0), C169*$C$7, 0)</f>
        <v/>
      </c>
      <c r="G169" s="20">
        <f>IF(AND(A169&lt;=$C$8, C169&gt;0), MAX(0, C169-E169), 0)</f>
        <v/>
      </c>
    </row>
    <row r="170" ht="20" customHeight="1">
      <c r="A170" s="15" t="n">
        <v>157</v>
      </c>
      <c r="B170" s="16">
        <f>IF(A170&lt;=$C$8, EDATE($C$9, A170), "")</f>
        <v/>
      </c>
      <c r="C170" s="17">
        <f>IF(A170&lt;=$C$8, G169, 0)</f>
        <v/>
      </c>
      <c r="D170" s="17">
        <f>IF(AND(A170&lt;=$C$8, C170&gt;0), IF(A170=$C$8, C170+F170, $G$6), 0)</f>
        <v/>
      </c>
      <c r="E170" s="17">
        <f>IF(AND(A170&lt;=$C$8, C170&gt;0), MIN(C170, D170-F170), 0)</f>
        <v/>
      </c>
      <c r="F170" s="17">
        <f>IF(AND(A170&lt;=$C$8, C170&gt;0), C170*$C$7, 0)</f>
        <v/>
      </c>
      <c r="G170" s="17">
        <f>IF(AND(A170&lt;=$C$8, C170&gt;0), MAX(0, C170-E170), 0)</f>
        <v/>
      </c>
    </row>
    <row r="171" ht="20" customHeight="1">
      <c r="A171" s="18" t="n">
        <v>158</v>
      </c>
      <c r="B171" s="19">
        <f>IF(A171&lt;=$C$8, EDATE($C$9, A171), "")</f>
        <v/>
      </c>
      <c r="C171" s="20">
        <f>IF(A171&lt;=$C$8, G170, 0)</f>
        <v/>
      </c>
      <c r="D171" s="20">
        <f>IF(AND(A171&lt;=$C$8, C171&gt;0), IF(A171=$C$8, C171+F171, $G$6), 0)</f>
        <v/>
      </c>
      <c r="E171" s="20">
        <f>IF(AND(A171&lt;=$C$8, C171&gt;0), MIN(C171, D171-F171), 0)</f>
        <v/>
      </c>
      <c r="F171" s="20">
        <f>IF(AND(A171&lt;=$C$8, C171&gt;0), C171*$C$7, 0)</f>
        <v/>
      </c>
      <c r="G171" s="20">
        <f>IF(AND(A171&lt;=$C$8, C171&gt;0), MAX(0, C171-E171), 0)</f>
        <v/>
      </c>
    </row>
    <row r="172" ht="20" customHeight="1">
      <c r="A172" s="15" t="n">
        <v>159</v>
      </c>
      <c r="B172" s="16">
        <f>IF(A172&lt;=$C$8, EDATE($C$9, A172), "")</f>
        <v/>
      </c>
      <c r="C172" s="17">
        <f>IF(A172&lt;=$C$8, G171, 0)</f>
        <v/>
      </c>
      <c r="D172" s="17">
        <f>IF(AND(A172&lt;=$C$8, C172&gt;0), IF(A172=$C$8, C172+F172, $G$6), 0)</f>
        <v/>
      </c>
      <c r="E172" s="17">
        <f>IF(AND(A172&lt;=$C$8, C172&gt;0), MIN(C172, D172-F172), 0)</f>
        <v/>
      </c>
      <c r="F172" s="17">
        <f>IF(AND(A172&lt;=$C$8, C172&gt;0), C172*$C$7, 0)</f>
        <v/>
      </c>
      <c r="G172" s="17">
        <f>IF(AND(A172&lt;=$C$8, C172&gt;0), MAX(0, C172-E172), 0)</f>
        <v/>
      </c>
    </row>
    <row r="173" ht="20" customHeight="1">
      <c r="A173" s="18" t="n">
        <v>160</v>
      </c>
      <c r="B173" s="19">
        <f>IF(A173&lt;=$C$8, EDATE($C$9, A173), "")</f>
        <v/>
      </c>
      <c r="C173" s="20">
        <f>IF(A173&lt;=$C$8, G172, 0)</f>
        <v/>
      </c>
      <c r="D173" s="20">
        <f>IF(AND(A173&lt;=$C$8, C173&gt;0), IF(A173=$C$8, C173+F173, $G$6), 0)</f>
        <v/>
      </c>
      <c r="E173" s="20">
        <f>IF(AND(A173&lt;=$C$8, C173&gt;0), MIN(C173, D173-F173), 0)</f>
        <v/>
      </c>
      <c r="F173" s="20">
        <f>IF(AND(A173&lt;=$C$8, C173&gt;0), C173*$C$7, 0)</f>
        <v/>
      </c>
      <c r="G173" s="20">
        <f>IF(AND(A173&lt;=$C$8, C173&gt;0), MAX(0, C173-E173), 0)</f>
        <v/>
      </c>
    </row>
    <row r="174" ht="20" customHeight="1">
      <c r="A174" s="15" t="n">
        <v>161</v>
      </c>
      <c r="B174" s="16">
        <f>IF(A174&lt;=$C$8, EDATE($C$9, A174), "")</f>
        <v/>
      </c>
      <c r="C174" s="17">
        <f>IF(A174&lt;=$C$8, G173, 0)</f>
        <v/>
      </c>
      <c r="D174" s="17">
        <f>IF(AND(A174&lt;=$C$8, C174&gt;0), IF(A174=$C$8, C174+F174, $G$6), 0)</f>
        <v/>
      </c>
      <c r="E174" s="17">
        <f>IF(AND(A174&lt;=$C$8, C174&gt;0), MIN(C174, D174-F174), 0)</f>
        <v/>
      </c>
      <c r="F174" s="17">
        <f>IF(AND(A174&lt;=$C$8, C174&gt;0), C174*$C$7, 0)</f>
        <v/>
      </c>
      <c r="G174" s="17">
        <f>IF(AND(A174&lt;=$C$8, C174&gt;0), MAX(0, C174-E174), 0)</f>
        <v/>
      </c>
    </row>
    <row r="175" ht="20" customHeight="1">
      <c r="A175" s="18" t="n">
        <v>162</v>
      </c>
      <c r="B175" s="19">
        <f>IF(A175&lt;=$C$8, EDATE($C$9, A175), "")</f>
        <v/>
      </c>
      <c r="C175" s="20">
        <f>IF(A175&lt;=$C$8, G174, 0)</f>
        <v/>
      </c>
      <c r="D175" s="20">
        <f>IF(AND(A175&lt;=$C$8, C175&gt;0), IF(A175=$C$8, C175+F175, $G$6), 0)</f>
        <v/>
      </c>
      <c r="E175" s="20">
        <f>IF(AND(A175&lt;=$C$8, C175&gt;0), MIN(C175, D175-F175), 0)</f>
        <v/>
      </c>
      <c r="F175" s="20">
        <f>IF(AND(A175&lt;=$C$8, C175&gt;0), C175*$C$7, 0)</f>
        <v/>
      </c>
      <c r="G175" s="20">
        <f>IF(AND(A175&lt;=$C$8, C175&gt;0), MAX(0, C175-E175), 0)</f>
        <v/>
      </c>
    </row>
    <row r="176" ht="20" customHeight="1">
      <c r="A176" s="15" t="n">
        <v>163</v>
      </c>
      <c r="B176" s="16">
        <f>IF(A176&lt;=$C$8, EDATE($C$9, A176), "")</f>
        <v/>
      </c>
      <c r="C176" s="17">
        <f>IF(A176&lt;=$C$8, G175, 0)</f>
        <v/>
      </c>
      <c r="D176" s="17">
        <f>IF(AND(A176&lt;=$C$8, C176&gt;0), IF(A176=$C$8, C176+F176, $G$6), 0)</f>
        <v/>
      </c>
      <c r="E176" s="17">
        <f>IF(AND(A176&lt;=$C$8, C176&gt;0), MIN(C176, D176-F176), 0)</f>
        <v/>
      </c>
      <c r="F176" s="17">
        <f>IF(AND(A176&lt;=$C$8, C176&gt;0), C176*$C$7, 0)</f>
        <v/>
      </c>
      <c r="G176" s="17">
        <f>IF(AND(A176&lt;=$C$8, C176&gt;0), MAX(0, C176-E176), 0)</f>
        <v/>
      </c>
    </row>
    <row r="177" ht="20" customHeight="1">
      <c r="A177" s="18" t="n">
        <v>164</v>
      </c>
      <c r="B177" s="19">
        <f>IF(A177&lt;=$C$8, EDATE($C$9, A177), "")</f>
        <v/>
      </c>
      <c r="C177" s="20">
        <f>IF(A177&lt;=$C$8, G176, 0)</f>
        <v/>
      </c>
      <c r="D177" s="20">
        <f>IF(AND(A177&lt;=$C$8, C177&gt;0), IF(A177=$C$8, C177+F177, $G$6), 0)</f>
        <v/>
      </c>
      <c r="E177" s="20">
        <f>IF(AND(A177&lt;=$C$8, C177&gt;0), MIN(C177, D177-F177), 0)</f>
        <v/>
      </c>
      <c r="F177" s="20">
        <f>IF(AND(A177&lt;=$C$8, C177&gt;0), C177*$C$7, 0)</f>
        <v/>
      </c>
      <c r="G177" s="20">
        <f>IF(AND(A177&lt;=$C$8, C177&gt;0), MAX(0, C177-E177), 0)</f>
        <v/>
      </c>
    </row>
    <row r="178" ht="20" customHeight="1">
      <c r="A178" s="15" t="n">
        <v>165</v>
      </c>
      <c r="B178" s="16">
        <f>IF(A178&lt;=$C$8, EDATE($C$9, A178), "")</f>
        <v/>
      </c>
      <c r="C178" s="17">
        <f>IF(A178&lt;=$C$8, G177, 0)</f>
        <v/>
      </c>
      <c r="D178" s="17">
        <f>IF(AND(A178&lt;=$C$8, C178&gt;0), IF(A178=$C$8, C178+F178, $G$6), 0)</f>
        <v/>
      </c>
      <c r="E178" s="17">
        <f>IF(AND(A178&lt;=$C$8, C178&gt;0), MIN(C178, D178-F178), 0)</f>
        <v/>
      </c>
      <c r="F178" s="17">
        <f>IF(AND(A178&lt;=$C$8, C178&gt;0), C178*$C$7, 0)</f>
        <v/>
      </c>
      <c r="G178" s="17">
        <f>IF(AND(A178&lt;=$C$8, C178&gt;0), MAX(0, C178-E178), 0)</f>
        <v/>
      </c>
    </row>
    <row r="179" ht="20" customHeight="1">
      <c r="A179" s="18" t="n">
        <v>166</v>
      </c>
      <c r="B179" s="19">
        <f>IF(A179&lt;=$C$8, EDATE($C$9, A179), "")</f>
        <v/>
      </c>
      <c r="C179" s="20">
        <f>IF(A179&lt;=$C$8, G178, 0)</f>
        <v/>
      </c>
      <c r="D179" s="20">
        <f>IF(AND(A179&lt;=$C$8, C179&gt;0), IF(A179=$C$8, C179+F179, $G$6), 0)</f>
        <v/>
      </c>
      <c r="E179" s="20">
        <f>IF(AND(A179&lt;=$C$8, C179&gt;0), MIN(C179, D179-F179), 0)</f>
        <v/>
      </c>
      <c r="F179" s="20">
        <f>IF(AND(A179&lt;=$C$8, C179&gt;0), C179*$C$7, 0)</f>
        <v/>
      </c>
      <c r="G179" s="20">
        <f>IF(AND(A179&lt;=$C$8, C179&gt;0), MAX(0, C179-E179), 0)</f>
        <v/>
      </c>
    </row>
    <row r="180" ht="20" customHeight="1">
      <c r="A180" s="15" t="n">
        <v>167</v>
      </c>
      <c r="B180" s="16">
        <f>IF(A180&lt;=$C$8, EDATE($C$9, A180), "")</f>
        <v/>
      </c>
      <c r="C180" s="17">
        <f>IF(A180&lt;=$C$8, G179, 0)</f>
        <v/>
      </c>
      <c r="D180" s="17">
        <f>IF(AND(A180&lt;=$C$8, C180&gt;0), IF(A180=$C$8, C180+F180, $G$6), 0)</f>
        <v/>
      </c>
      <c r="E180" s="17">
        <f>IF(AND(A180&lt;=$C$8, C180&gt;0), MIN(C180, D180-F180), 0)</f>
        <v/>
      </c>
      <c r="F180" s="17">
        <f>IF(AND(A180&lt;=$C$8, C180&gt;0), C180*$C$7, 0)</f>
        <v/>
      </c>
      <c r="G180" s="17">
        <f>IF(AND(A180&lt;=$C$8, C180&gt;0), MAX(0, C180-E180), 0)</f>
        <v/>
      </c>
    </row>
    <row r="181" ht="20" customHeight="1">
      <c r="A181" s="18" t="n">
        <v>168</v>
      </c>
      <c r="B181" s="19">
        <f>IF(A181&lt;=$C$8, EDATE($C$9, A181), "")</f>
        <v/>
      </c>
      <c r="C181" s="20">
        <f>IF(A181&lt;=$C$8, G180, 0)</f>
        <v/>
      </c>
      <c r="D181" s="20">
        <f>IF(AND(A181&lt;=$C$8, C181&gt;0), IF(A181=$C$8, C181+F181, $G$6), 0)</f>
        <v/>
      </c>
      <c r="E181" s="20">
        <f>IF(AND(A181&lt;=$C$8, C181&gt;0), MIN(C181, D181-F181), 0)</f>
        <v/>
      </c>
      <c r="F181" s="20">
        <f>IF(AND(A181&lt;=$C$8, C181&gt;0), C181*$C$7, 0)</f>
        <v/>
      </c>
      <c r="G181" s="20">
        <f>IF(AND(A181&lt;=$C$8, C181&gt;0), MAX(0, C181-E181), 0)</f>
        <v/>
      </c>
    </row>
    <row r="182" ht="20" customHeight="1">
      <c r="A182" s="15" t="n">
        <v>169</v>
      </c>
      <c r="B182" s="16">
        <f>IF(A182&lt;=$C$8, EDATE($C$9, A182), "")</f>
        <v/>
      </c>
      <c r="C182" s="17">
        <f>IF(A182&lt;=$C$8, G181, 0)</f>
        <v/>
      </c>
      <c r="D182" s="17">
        <f>IF(AND(A182&lt;=$C$8, C182&gt;0), IF(A182=$C$8, C182+F182, $G$6), 0)</f>
        <v/>
      </c>
      <c r="E182" s="17">
        <f>IF(AND(A182&lt;=$C$8, C182&gt;0), MIN(C182, D182-F182), 0)</f>
        <v/>
      </c>
      <c r="F182" s="17">
        <f>IF(AND(A182&lt;=$C$8, C182&gt;0), C182*$C$7, 0)</f>
        <v/>
      </c>
      <c r="G182" s="17">
        <f>IF(AND(A182&lt;=$C$8, C182&gt;0), MAX(0, C182-E182), 0)</f>
        <v/>
      </c>
    </row>
    <row r="183" ht="20" customHeight="1">
      <c r="A183" s="18" t="n">
        <v>170</v>
      </c>
      <c r="B183" s="19">
        <f>IF(A183&lt;=$C$8, EDATE($C$9, A183), "")</f>
        <v/>
      </c>
      <c r="C183" s="20">
        <f>IF(A183&lt;=$C$8, G182, 0)</f>
        <v/>
      </c>
      <c r="D183" s="20">
        <f>IF(AND(A183&lt;=$C$8, C183&gt;0), IF(A183=$C$8, C183+F183, $G$6), 0)</f>
        <v/>
      </c>
      <c r="E183" s="20">
        <f>IF(AND(A183&lt;=$C$8, C183&gt;0), MIN(C183, D183-F183), 0)</f>
        <v/>
      </c>
      <c r="F183" s="20">
        <f>IF(AND(A183&lt;=$C$8, C183&gt;0), C183*$C$7, 0)</f>
        <v/>
      </c>
      <c r="G183" s="20">
        <f>IF(AND(A183&lt;=$C$8, C183&gt;0), MAX(0, C183-E183), 0)</f>
        <v/>
      </c>
    </row>
    <row r="184" ht="20" customHeight="1">
      <c r="A184" s="15" t="n">
        <v>171</v>
      </c>
      <c r="B184" s="16">
        <f>IF(A184&lt;=$C$8, EDATE($C$9, A184), "")</f>
        <v/>
      </c>
      <c r="C184" s="17">
        <f>IF(A184&lt;=$C$8, G183, 0)</f>
        <v/>
      </c>
      <c r="D184" s="17">
        <f>IF(AND(A184&lt;=$C$8, C184&gt;0), IF(A184=$C$8, C184+F184, $G$6), 0)</f>
        <v/>
      </c>
      <c r="E184" s="17">
        <f>IF(AND(A184&lt;=$C$8, C184&gt;0), MIN(C184, D184-F184), 0)</f>
        <v/>
      </c>
      <c r="F184" s="17">
        <f>IF(AND(A184&lt;=$C$8, C184&gt;0), C184*$C$7, 0)</f>
        <v/>
      </c>
      <c r="G184" s="17">
        <f>IF(AND(A184&lt;=$C$8, C184&gt;0), MAX(0, C184-E184), 0)</f>
        <v/>
      </c>
    </row>
    <row r="185" ht="20" customHeight="1">
      <c r="A185" s="18" t="n">
        <v>172</v>
      </c>
      <c r="B185" s="19">
        <f>IF(A185&lt;=$C$8, EDATE($C$9, A185), "")</f>
        <v/>
      </c>
      <c r="C185" s="20">
        <f>IF(A185&lt;=$C$8, G184, 0)</f>
        <v/>
      </c>
      <c r="D185" s="20">
        <f>IF(AND(A185&lt;=$C$8, C185&gt;0), IF(A185=$C$8, C185+F185, $G$6), 0)</f>
        <v/>
      </c>
      <c r="E185" s="20">
        <f>IF(AND(A185&lt;=$C$8, C185&gt;0), MIN(C185, D185-F185), 0)</f>
        <v/>
      </c>
      <c r="F185" s="20">
        <f>IF(AND(A185&lt;=$C$8, C185&gt;0), C185*$C$7, 0)</f>
        <v/>
      </c>
      <c r="G185" s="20">
        <f>IF(AND(A185&lt;=$C$8, C185&gt;0), MAX(0, C185-E185), 0)</f>
        <v/>
      </c>
    </row>
    <row r="186" ht="20" customHeight="1">
      <c r="A186" s="15" t="n">
        <v>173</v>
      </c>
      <c r="B186" s="16">
        <f>IF(A186&lt;=$C$8, EDATE($C$9, A186), "")</f>
        <v/>
      </c>
      <c r="C186" s="17">
        <f>IF(A186&lt;=$C$8, G185, 0)</f>
        <v/>
      </c>
      <c r="D186" s="17">
        <f>IF(AND(A186&lt;=$C$8, C186&gt;0), IF(A186=$C$8, C186+F186, $G$6), 0)</f>
        <v/>
      </c>
      <c r="E186" s="17">
        <f>IF(AND(A186&lt;=$C$8, C186&gt;0), MIN(C186, D186-F186), 0)</f>
        <v/>
      </c>
      <c r="F186" s="17">
        <f>IF(AND(A186&lt;=$C$8, C186&gt;0), C186*$C$7, 0)</f>
        <v/>
      </c>
      <c r="G186" s="17">
        <f>IF(AND(A186&lt;=$C$8, C186&gt;0), MAX(0, C186-E186), 0)</f>
        <v/>
      </c>
    </row>
    <row r="187" ht="20" customHeight="1">
      <c r="A187" s="18" t="n">
        <v>174</v>
      </c>
      <c r="B187" s="19">
        <f>IF(A187&lt;=$C$8, EDATE($C$9, A187), "")</f>
        <v/>
      </c>
      <c r="C187" s="20">
        <f>IF(A187&lt;=$C$8, G186, 0)</f>
        <v/>
      </c>
      <c r="D187" s="20">
        <f>IF(AND(A187&lt;=$C$8, C187&gt;0), IF(A187=$C$8, C187+F187, $G$6), 0)</f>
        <v/>
      </c>
      <c r="E187" s="20">
        <f>IF(AND(A187&lt;=$C$8, C187&gt;0), MIN(C187, D187-F187), 0)</f>
        <v/>
      </c>
      <c r="F187" s="20">
        <f>IF(AND(A187&lt;=$C$8, C187&gt;0), C187*$C$7, 0)</f>
        <v/>
      </c>
      <c r="G187" s="20">
        <f>IF(AND(A187&lt;=$C$8, C187&gt;0), MAX(0, C187-E187), 0)</f>
        <v/>
      </c>
    </row>
    <row r="188" ht="20" customHeight="1">
      <c r="A188" s="15" t="n">
        <v>175</v>
      </c>
      <c r="B188" s="16">
        <f>IF(A188&lt;=$C$8, EDATE($C$9, A188), "")</f>
        <v/>
      </c>
      <c r="C188" s="17">
        <f>IF(A188&lt;=$C$8, G187, 0)</f>
        <v/>
      </c>
      <c r="D188" s="17">
        <f>IF(AND(A188&lt;=$C$8, C188&gt;0), IF(A188=$C$8, C188+F188, $G$6), 0)</f>
        <v/>
      </c>
      <c r="E188" s="17">
        <f>IF(AND(A188&lt;=$C$8, C188&gt;0), MIN(C188, D188-F188), 0)</f>
        <v/>
      </c>
      <c r="F188" s="17">
        <f>IF(AND(A188&lt;=$C$8, C188&gt;0), C188*$C$7, 0)</f>
        <v/>
      </c>
      <c r="G188" s="17">
        <f>IF(AND(A188&lt;=$C$8, C188&gt;0), MAX(0, C188-E188), 0)</f>
        <v/>
      </c>
    </row>
    <row r="189" ht="20" customHeight="1">
      <c r="A189" s="18" t="n">
        <v>176</v>
      </c>
      <c r="B189" s="19">
        <f>IF(A189&lt;=$C$8, EDATE($C$9, A189), "")</f>
        <v/>
      </c>
      <c r="C189" s="20">
        <f>IF(A189&lt;=$C$8, G188, 0)</f>
        <v/>
      </c>
      <c r="D189" s="20">
        <f>IF(AND(A189&lt;=$C$8, C189&gt;0), IF(A189=$C$8, C189+F189, $G$6), 0)</f>
        <v/>
      </c>
      <c r="E189" s="20">
        <f>IF(AND(A189&lt;=$C$8, C189&gt;0), MIN(C189, D189-F189), 0)</f>
        <v/>
      </c>
      <c r="F189" s="20">
        <f>IF(AND(A189&lt;=$C$8, C189&gt;0), C189*$C$7, 0)</f>
        <v/>
      </c>
      <c r="G189" s="20">
        <f>IF(AND(A189&lt;=$C$8, C189&gt;0), MAX(0, C189-E189), 0)</f>
        <v/>
      </c>
    </row>
    <row r="190" ht="20" customHeight="1">
      <c r="A190" s="15" t="n">
        <v>177</v>
      </c>
      <c r="B190" s="16">
        <f>IF(A190&lt;=$C$8, EDATE($C$9, A190), "")</f>
        <v/>
      </c>
      <c r="C190" s="17">
        <f>IF(A190&lt;=$C$8, G189, 0)</f>
        <v/>
      </c>
      <c r="D190" s="17">
        <f>IF(AND(A190&lt;=$C$8, C190&gt;0), IF(A190=$C$8, C190+F190, $G$6), 0)</f>
        <v/>
      </c>
      <c r="E190" s="17">
        <f>IF(AND(A190&lt;=$C$8, C190&gt;0), MIN(C190, D190-F190), 0)</f>
        <v/>
      </c>
      <c r="F190" s="17">
        <f>IF(AND(A190&lt;=$C$8, C190&gt;0), C190*$C$7, 0)</f>
        <v/>
      </c>
      <c r="G190" s="17">
        <f>IF(AND(A190&lt;=$C$8, C190&gt;0), MAX(0, C190-E190), 0)</f>
        <v/>
      </c>
    </row>
    <row r="191" ht="20" customHeight="1">
      <c r="A191" s="18" t="n">
        <v>178</v>
      </c>
      <c r="B191" s="19">
        <f>IF(A191&lt;=$C$8, EDATE($C$9, A191), "")</f>
        <v/>
      </c>
      <c r="C191" s="20">
        <f>IF(A191&lt;=$C$8, G190, 0)</f>
        <v/>
      </c>
      <c r="D191" s="20">
        <f>IF(AND(A191&lt;=$C$8, C191&gt;0), IF(A191=$C$8, C191+F191, $G$6), 0)</f>
        <v/>
      </c>
      <c r="E191" s="20">
        <f>IF(AND(A191&lt;=$C$8, C191&gt;0), MIN(C191, D191-F191), 0)</f>
        <v/>
      </c>
      <c r="F191" s="20">
        <f>IF(AND(A191&lt;=$C$8, C191&gt;0), C191*$C$7, 0)</f>
        <v/>
      </c>
      <c r="G191" s="20">
        <f>IF(AND(A191&lt;=$C$8, C191&gt;0), MAX(0, C191-E191), 0)</f>
        <v/>
      </c>
    </row>
    <row r="192" ht="20" customHeight="1">
      <c r="A192" s="15" t="n">
        <v>179</v>
      </c>
      <c r="B192" s="16">
        <f>IF(A192&lt;=$C$8, EDATE($C$9, A192), "")</f>
        <v/>
      </c>
      <c r="C192" s="17">
        <f>IF(A192&lt;=$C$8, G191, 0)</f>
        <v/>
      </c>
      <c r="D192" s="17">
        <f>IF(AND(A192&lt;=$C$8, C192&gt;0), IF(A192=$C$8, C192+F192, $G$6), 0)</f>
        <v/>
      </c>
      <c r="E192" s="17">
        <f>IF(AND(A192&lt;=$C$8, C192&gt;0), MIN(C192, D192-F192), 0)</f>
        <v/>
      </c>
      <c r="F192" s="17">
        <f>IF(AND(A192&lt;=$C$8, C192&gt;0), C192*$C$7, 0)</f>
        <v/>
      </c>
      <c r="G192" s="17">
        <f>IF(AND(A192&lt;=$C$8, C192&gt;0), MAX(0, C192-E192), 0)</f>
        <v/>
      </c>
    </row>
    <row r="193" ht="20" customHeight="1">
      <c r="A193" s="18" t="n">
        <v>180</v>
      </c>
      <c r="B193" s="19">
        <f>IF(A193&lt;=$C$8, EDATE($C$9, A193), "")</f>
        <v/>
      </c>
      <c r="C193" s="20">
        <f>IF(A193&lt;=$C$8, G192, 0)</f>
        <v/>
      </c>
      <c r="D193" s="20">
        <f>IF(AND(A193&lt;=$C$8, C193&gt;0), IF(A193=$C$8, C193+F193, $G$6), 0)</f>
        <v/>
      </c>
      <c r="E193" s="20">
        <f>IF(AND(A193&lt;=$C$8, C193&gt;0), MIN(C193, D193-F193), 0)</f>
        <v/>
      </c>
      <c r="F193" s="20">
        <f>IF(AND(A193&lt;=$C$8, C193&gt;0), C193*$C$7, 0)</f>
        <v/>
      </c>
      <c r="G193" s="20">
        <f>IF(AND(A193&lt;=$C$8, C193&gt;0), MAX(0, C193-E193), 0)</f>
        <v/>
      </c>
    </row>
    <row r="194" ht="24" customHeight="1">
      <c r="A194" s="21" t="inlineStr">
        <is>
          <t>TOTALES</t>
        </is>
      </c>
      <c r="B194" s="22" t="inlineStr"/>
      <c r="C194" s="22" t="inlineStr"/>
      <c r="D194" s="23">
        <f>SUM(D14:D193)</f>
        <v/>
      </c>
      <c r="E194" s="23">
        <f>SUM(E14:E193)</f>
        <v/>
      </c>
      <c r="F194" s="23">
        <f>SUM(F14:F193)</f>
        <v/>
      </c>
      <c r="G194" s="23">
        <f>G193</f>
        <v/>
      </c>
    </row>
  </sheetData>
  <mergeCells count="5">
    <mergeCell ref="A1:G1"/>
    <mergeCell ref="A2:G2"/>
    <mergeCell ref="E4:G4"/>
    <mergeCell ref="A4:C4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2026-09-01T15:06:32Z</dcterms:created>
  <dcterms:modified xsi:type="dcterms:W3CDTF">2026-09-01T15:06:32Z</dcterms:modified>
</cp:coreProperties>
</file>