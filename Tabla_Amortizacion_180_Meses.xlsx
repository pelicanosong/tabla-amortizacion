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uimiento y Pagos Re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000%"/>
    <numFmt numFmtId="166" formatCode="yyyy-mm-dd"/>
    <numFmt numFmtId="167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93C5FD"/>
      <sz val="10"/>
    </font>
    <font>
      <name val="Calibri"/>
      <b val="1"/>
      <color rgb="001E3A8A"/>
      <sz val="11"/>
    </font>
    <font>
      <name val="Calibri"/>
      <b val="1"/>
      <sz val="10"/>
    </font>
    <font>
      <name val="Calibri"/>
      <i val="1"/>
      <color rgb="00475569"/>
      <sz val="9"/>
    </font>
    <font>
      <name val="Calibri"/>
      <b val="1"/>
      <color rgb="00FFFFFF"/>
      <sz val="10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1E40AF"/>
        <bgColor rgb="001E40AF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49" fontId="4" fillId="3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0" fontId="4" fillId="3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/>
    </xf>
    <xf numFmtId="167" fontId="7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/>
    </xf>
    <xf numFmtId="167" fontId="7" fillId="9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right" vertical="center"/>
    </xf>
    <xf numFmtId="164" fontId="4" fillId="9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164" fontId="4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8" customWidth="1" min="4" max="4"/>
    <col width="18" customWidth="1" min="5" max="5"/>
    <col width="22" customWidth="1" min="6" max="6"/>
    <col width="18" customWidth="1" min="7" max="7"/>
    <col width="20" customWidth="1" min="8" max="8"/>
    <col width="16" customWidth="1" min="9" max="9"/>
  </cols>
  <sheetData>
    <row r="1" ht="28" customHeight="1">
      <c r="A1" s="1" t="inlineStr">
        <is>
          <t>CONTROL DE PRÉSTAMOS Y SEGUIMIENTO DE PAGOS REALES</t>
        </is>
      </c>
    </row>
    <row r="2" ht="18" customHeight="1">
      <c r="A2" s="2" t="inlineStr">
        <is>
          <t>Permite ingresar abonos reales variables (paga más, paga menos o no paga) con recálculo de saldo</t>
        </is>
      </c>
    </row>
    <row r="4">
      <c r="A4" s="3" t="inlineStr">
        <is>
          <t>DATOS DEL CLIENTE Y PRÉSTAMO</t>
        </is>
      </c>
      <c r="F4" s="3" t="inlineStr">
        <is>
          <t>RESUMEN DE LIQUIDACIÓN Y ESTADO</t>
        </is>
      </c>
    </row>
    <row r="5">
      <c r="A5" s="4" t="inlineStr">
        <is>
          <t>Nombre del Cliente:</t>
        </is>
      </c>
      <c r="C5" s="5" t="inlineStr">
        <is>
          <t>Carlos Alberto Rodríguez</t>
        </is>
      </c>
      <c r="F5" s="4" t="inlineStr">
        <is>
          <t>Cuota Fija Sugerida (Pactada):</t>
        </is>
      </c>
      <c r="H5" s="6">
        <f>IF(AND(C6&gt;0, C9&gt;0, C8&gt;0), PMT(C8, C9, -C6), 0)</f>
        <v/>
      </c>
    </row>
    <row r="6">
      <c r="A6" s="4" t="inlineStr">
        <is>
          <t>Capital Inicial Prestado:</t>
        </is>
      </c>
      <c r="C6" s="7" t="n">
        <v>50000000</v>
      </c>
      <c r="F6" s="4" t="inlineStr">
        <is>
          <t>Saldo Pendiente Actual:</t>
        </is>
      </c>
      <c r="H6" s="6">
        <f>H194</f>
        <v/>
      </c>
    </row>
    <row r="7">
      <c r="A7" s="4" t="inlineStr">
        <is>
          <t>Tasa Nominal Anual (TNA):</t>
        </is>
      </c>
      <c r="C7" s="8" t="n">
        <v>0.12</v>
      </c>
      <c r="F7" s="4" t="inlineStr">
        <is>
          <t>Total Pagado Real a la Fecha:</t>
        </is>
      </c>
      <c r="H7" s="6">
        <f>SUM(F14:F193)</f>
        <v/>
      </c>
    </row>
    <row r="8">
      <c r="A8" s="4" t="inlineStr">
        <is>
          <t>Tasa Mensual:</t>
        </is>
      </c>
      <c r="C8" s="9">
        <f>C7/12</f>
        <v/>
      </c>
      <c r="F8" s="4" t="inlineStr">
        <is>
          <t>Total Intereses Pagados:</t>
        </is>
      </c>
      <c r="H8" s="6">
        <f>SUM(E14:E193)</f>
        <v/>
      </c>
    </row>
    <row r="9">
      <c r="A9" s="4" t="inlineStr">
        <is>
          <t>Plazo Total (Meses):</t>
        </is>
      </c>
      <c r="C9" s="10" t="n">
        <v>180</v>
      </c>
      <c r="F9" s="4" t="inlineStr">
        <is>
          <t>Total Capital Amortizado:</t>
        </is>
      </c>
      <c r="H9" s="6">
        <f>SUM(G14:G193)</f>
        <v/>
      </c>
    </row>
    <row r="10">
      <c r="A10" s="4" t="inlineStr">
        <is>
          <t>Fecha de Inicio:</t>
        </is>
      </c>
      <c r="C10" s="11" t="n">
        <v>46023</v>
      </c>
      <c r="F10" s="4" t="inlineStr">
        <is>
          <t>Fecha Final Pactada:</t>
        </is>
      </c>
      <c r="H10" s="12">
        <f>IF(C9&gt;0, EDATE(C10, C9), "")</f>
        <v/>
      </c>
    </row>
    <row r="11">
      <c r="A11" s="13" t="inlineStr">
        <is>
          <t>💡 INSTRUCCIÓN: En la columna 'Pago Real Realizado' (Columna F) escribe exactamente lo que el cliente abonó ese mes. El abono a capital y el saldo se ajustan de inmediato.</t>
        </is>
      </c>
    </row>
    <row r="13" ht="26" customHeight="1">
      <c r="A13" s="14" t="inlineStr">
        <is>
          <t>N° Cuota</t>
        </is>
      </c>
      <c r="B13" s="14" t="inlineStr">
        <is>
          <t>Fecha</t>
        </is>
      </c>
      <c r="C13" s="14" t="inlineStr">
        <is>
          <t>Capital Inicial</t>
        </is>
      </c>
      <c r="D13" s="14" t="inlineStr">
        <is>
          <t>Cuota Pactada</t>
        </is>
      </c>
      <c r="E13" s="14" t="inlineStr">
        <is>
          <t>Intereses del Mes</t>
        </is>
      </c>
      <c r="F13" s="14" t="inlineStr">
        <is>
          <t>Pago Real Realizado</t>
        </is>
      </c>
      <c r="G13" s="14" t="inlineStr">
        <is>
          <t>Abono a Capital</t>
        </is>
      </c>
      <c r="H13" s="14" t="inlineStr">
        <is>
          <t>Saldo Capital Real</t>
        </is>
      </c>
      <c r="I13" s="14" t="inlineStr">
        <is>
          <t>Estado del Pago</t>
        </is>
      </c>
    </row>
    <row r="14" ht="20" customHeight="1">
      <c r="A14" s="15" t="n">
        <v>1</v>
      </c>
      <c r="B14" s="16">
        <f>IF(A14&lt;=$C$9, EDATE($C$10, A14), "")</f>
        <v/>
      </c>
      <c r="C14" s="17">
        <f>IF(A14&lt;=$C$9, $C$6, 0)</f>
        <v/>
      </c>
      <c r="D14" s="17">
        <f>IF(AND(A14&lt;=$C$9, C14&gt;0), $H$5, 0)</f>
        <v/>
      </c>
      <c r="E14" s="17">
        <f>IF(AND(A14&lt;=$C$9, C14&gt;0), C14*$C$8, 0)</f>
        <v/>
      </c>
      <c r="F14" s="18">
        <f>D14</f>
        <v/>
      </c>
      <c r="G14" s="17">
        <f>IF(AND(A14&lt;=$C$9, C14&gt;0), MIN(C14, MAX(0, F14-E14)), 0)</f>
        <v/>
      </c>
      <c r="H14" s="19">
        <f>IF(AND(A14&lt;=$C$9, C14&gt;0), MAX(0, C14-G14), 0)</f>
        <v/>
      </c>
      <c r="I14" s="15">
        <f>IF(A14&gt;$C$9, "", IF(C14=0, "Finalizado", IF(F14=0, "Sin Pago", IF(F14&gt;D14+100, "Abono Extra", IF(F14&lt;D14-100, "Pago Parcial", "Al Día")))))</f>
        <v/>
      </c>
    </row>
    <row r="15" ht="20" customHeight="1">
      <c r="A15" s="20" t="n">
        <v>2</v>
      </c>
      <c r="B15" s="21">
        <f>IF(A15&lt;=$C$9, EDATE($C$10, A15), "")</f>
        <v/>
      </c>
      <c r="C15" s="22">
        <f>IF(A15&lt;=$C$9, H14, 0)</f>
        <v/>
      </c>
      <c r="D15" s="22">
        <f>IF(AND(A15&lt;=$C$9, C15&gt;0), $H$5, 0)</f>
        <v/>
      </c>
      <c r="E15" s="22">
        <f>IF(AND(A15&lt;=$C$9, C15&gt;0), C15*$C$8, 0)</f>
        <v/>
      </c>
      <c r="F15" s="18" t="n">
        <v>1500000</v>
      </c>
      <c r="G15" s="22">
        <f>IF(AND(A15&lt;=$C$9, C15&gt;0), MIN(C15, MAX(0, F15-E15)), 0)</f>
        <v/>
      </c>
      <c r="H15" s="23">
        <f>IF(AND(A15&lt;=$C$9, C15&gt;0), MAX(0, C15-G15), 0)</f>
        <v/>
      </c>
      <c r="I15" s="20">
        <f>IF(A15&gt;$C$9, "", IF(C15=0, "Finalizado", IF(F15=0, "Sin Pago", IF(F15&gt;D15+100, "Abono Extra", IF(F15&lt;D15-100, "Pago Parcial", "Al Día")))))</f>
        <v/>
      </c>
    </row>
    <row r="16" ht="20" customHeight="1">
      <c r="A16" s="15" t="n">
        <v>3</v>
      </c>
      <c r="B16" s="16">
        <f>IF(A16&lt;=$C$9, EDATE($C$10, A16), "")</f>
        <v/>
      </c>
      <c r="C16" s="17">
        <f>IF(A16&lt;=$C$9, H15, 0)</f>
        <v/>
      </c>
      <c r="D16" s="17">
        <f>IF(AND(A16&lt;=$C$9, C16&gt;0), $H$5, 0)</f>
        <v/>
      </c>
      <c r="E16" s="17">
        <f>IF(AND(A16&lt;=$C$9, C16&gt;0), C16*$C$8, 0)</f>
        <v/>
      </c>
      <c r="F16" s="18" t="n">
        <v>300000</v>
      </c>
      <c r="G16" s="17">
        <f>IF(AND(A16&lt;=$C$9, C16&gt;0), MIN(C16, MAX(0, F16-E16)), 0)</f>
        <v/>
      </c>
      <c r="H16" s="19">
        <f>IF(AND(A16&lt;=$C$9, C16&gt;0), MAX(0, C16-G16), 0)</f>
        <v/>
      </c>
      <c r="I16" s="15">
        <f>IF(A16&gt;$C$9, "", IF(C16=0, "Finalizado", IF(F16=0, "Sin Pago", IF(F16&gt;D16+100, "Abono Extra", IF(F16&lt;D16-100, "Pago Parcial", "Al Día")))))</f>
        <v/>
      </c>
    </row>
    <row r="17" ht="20" customHeight="1">
      <c r="A17" s="20" t="n">
        <v>4</v>
      </c>
      <c r="B17" s="21">
        <f>IF(A17&lt;=$C$9, EDATE($C$10, A17), "")</f>
        <v/>
      </c>
      <c r="C17" s="22">
        <f>IF(A17&lt;=$C$9, H16, 0)</f>
        <v/>
      </c>
      <c r="D17" s="22">
        <f>IF(AND(A17&lt;=$C$9, C17&gt;0), $H$5, 0)</f>
        <v/>
      </c>
      <c r="E17" s="22">
        <f>IF(AND(A17&lt;=$C$9, C17&gt;0), C17*$C$8, 0)</f>
        <v/>
      </c>
      <c r="F17" s="18">
        <f>IF(AND(A17&lt;=$C$9, C17&gt;0), D17, 0)</f>
        <v/>
      </c>
      <c r="G17" s="22">
        <f>IF(AND(A17&lt;=$C$9, C17&gt;0), MIN(C17, MAX(0, F17-E17)), 0)</f>
        <v/>
      </c>
      <c r="H17" s="23">
        <f>IF(AND(A17&lt;=$C$9, C17&gt;0), MAX(0, C17-G17), 0)</f>
        <v/>
      </c>
      <c r="I17" s="20">
        <f>IF(A17&gt;$C$9, "", IF(C17=0, "Finalizado", IF(F17=0, "Sin Pago", IF(F17&gt;D17+100, "Abono Extra", IF(F17&lt;D17-100, "Pago Parcial", "Al Día")))))</f>
        <v/>
      </c>
    </row>
    <row r="18" ht="20" customHeight="1">
      <c r="A18" s="15" t="n">
        <v>5</v>
      </c>
      <c r="B18" s="16">
        <f>IF(A18&lt;=$C$9, EDATE($C$10, A18), "")</f>
        <v/>
      </c>
      <c r="C18" s="17">
        <f>IF(A18&lt;=$C$9, H17, 0)</f>
        <v/>
      </c>
      <c r="D18" s="17">
        <f>IF(AND(A18&lt;=$C$9, C18&gt;0), $H$5, 0)</f>
        <v/>
      </c>
      <c r="E18" s="17">
        <f>IF(AND(A18&lt;=$C$9, C18&gt;0), C18*$C$8, 0)</f>
        <v/>
      </c>
      <c r="F18" s="18">
        <f>IF(AND(A18&lt;=$C$9, C18&gt;0), D18, 0)</f>
        <v/>
      </c>
      <c r="G18" s="17">
        <f>IF(AND(A18&lt;=$C$9, C18&gt;0), MIN(C18, MAX(0, F18-E18)), 0)</f>
        <v/>
      </c>
      <c r="H18" s="19">
        <f>IF(AND(A18&lt;=$C$9, C18&gt;0), MAX(0, C18-G18), 0)</f>
        <v/>
      </c>
      <c r="I18" s="15">
        <f>IF(A18&gt;$C$9, "", IF(C18=0, "Finalizado", IF(F18=0, "Sin Pago", IF(F18&gt;D18+100, "Abono Extra", IF(F18&lt;D18-100, "Pago Parcial", "Al Día")))))</f>
        <v/>
      </c>
    </row>
    <row r="19" ht="20" customHeight="1">
      <c r="A19" s="20" t="n">
        <v>6</v>
      </c>
      <c r="B19" s="21">
        <f>IF(A19&lt;=$C$9, EDATE($C$10, A19), "")</f>
        <v/>
      </c>
      <c r="C19" s="22">
        <f>IF(A19&lt;=$C$9, H18, 0)</f>
        <v/>
      </c>
      <c r="D19" s="22">
        <f>IF(AND(A19&lt;=$C$9, C19&gt;0), $H$5, 0)</f>
        <v/>
      </c>
      <c r="E19" s="22">
        <f>IF(AND(A19&lt;=$C$9, C19&gt;0), C19*$C$8, 0)</f>
        <v/>
      </c>
      <c r="F19" s="18">
        <f>IF(AND(A19&lt;=$C$9, C19&gt;0), D19, 0)</f>
        <v/>
      </c>
      <c r="G19" s="22">
        <f>IF(AND(A19&lt;=$C$9, C19&gt;0), MIN(C19, MAX(0, F19-E19)), 0)</f>
        <v/>
      </c>
      <c r="H19" s="23">
        <f>IF(AND(A19&lt;=$C$9, C19&gt;0), MAX(0, C19-G19), 0)</f>
        <v/>
      </c>
      <c r="I19" s="20">
        <f>IF(A19&gt;$C$9, "", IF(C19=0, "Finalizado", IF(F19=0, "Sin Pago", IF(F19&gt;D19+100, "Abono Extra", IF(F19&lt;D19-100, "Pago Parcial", "Al Día")))))</f>
        <v/>
      </c>
    </row>
    <row r="20" ht="20" customHeight="1">
      <c r="A20" s="15" t="n">
        <v>7</v>
      </c>
      <c r="B20" s="16">
        <f>IF(A20&lt;=$C$9, EDATE($C$10, A20), "")</f>
        <v/>
      </c>
      <c r="C20" s="17">
        <f>IF(A20&lt;=$C$9, H19, 0)</f>
        <v/>
      </c>
      <c r="D20" s="17">
        <f>IF(AND(A20&lt;=$C$9, C20&gt;0), $H$5, 0)</f>
        <v/>
      </c>
      <c r="E20" s="17">
        <f>IF(AND(A20&lt;=$C$9, C20&gt;0), C20*$C$8, 0)</f>
        <v/>
      </c>
      <c r="F20" s="18">
        <f>IF(AND(A20&lt;=$C$9, C20&gt;0), D20, 0)</f>
        <v/>
      </c>
      <c r="G20" s="17">
        <f>IF(AND(A20&lt;=$C$9, C20&gt;0), MIN(C20, MAX(0, F20-E20)), 0)</f>
        <v/>
      </c>
      <c r="H20" s="19">
        <f>IF(AND(A20&lt;=$C$9, C20&gt;0), MAX(0, C20-G20), 0)</f>
        <v/>
      </c>
      <c r="I20" s="15">
        <f>IF(A20&gt;$C$9, "", IF(C20=0, "Finalizado", IF(F20=0, "Sin Pago", IF(F20&gt;D20+100, "Abono Extra", IF(F20&lt;D20-100, "Pago Parcial", "Al Día")))))</f>
        <v/>
      </c>
    </row>
    <row r="21" ht="20" customHeight="1">
      <c r="A21" s="20" t="n">
        <v>8</v>
      </c>
      <c r="B21" s="21">
        <f>IF(A21&lt;=$C$9, EDATE($C$10, A21), "")</f>
        <v/>
      </c>
      <c r="C21" s="22">
        <f>IF(A21&lt;=$C$9, H20, 0)</f>
        <v/>
      </c>
      <c r="D21" s="22">
        <f>IF(AND(A21&lt;=$C$9, C21&gt;0), $H$5, 0)</f>
        <v/>
      </c>
      <c r="E21" s="22">
        <f>IF(AND(A21&lt;=$C$9, C21&gt;0), C21*$C$8, 0)</f>
        <v/>
      </c>
      <c r="F21" s="18">
        <f>IF(AND(A21&lt;=$C$9, C21&gt;0), D21, 0)</f>
        <v/>
      </c>
      <c r="G21" s="22">
        <f>IF(AND(A21&lt;=$C$9, C21&gt;0), MIN(C21, MAX(0, F21-E21)), 0)</f>
        <v/>
      </c>
      <c r="H21" s="23">
        <f>IF(AND(A21&lt;=$C$9, C21&gt;0), MAX(0, C21-G21), 0)</f>
        <v/>
      </c>
      <c r="I21" s="20">
        <f>IF(A21&gt;$C$9, "", IF(C21=0, "Finalizado", IF(F21=0, "Sin Pago", IF(F21&gt;D21+100, "Abono Extra", IF(F21&lt;D21-100, "Pago Parcial", "Al Día")))))</f>
        <v/>
      </c>
    </row>
    <row r="22" ht="20" customHeight="1">
      <c r="A22" s="15" t="n">
        <v>9</v>
      </c>
      <c r="B22" s="16">
        <f>IF(A22&lt;=$C$9, EDATE($C$10, A22), "")</f>
        <v/>
      </c>
      <c r="C22" s="17">
        <f>IF(A22&lt;=$C$9, H21, 0)</f>
        <v/>
      </c>
      <c r="D22" s="17">
        <f>IF(AND(A22&lt;=$C$9, C22&gt;0), $H$5, 0)</f>
        <v/>
      </c>
      <c r="E22" s="17">
        <f>IF(AND(A22&lt;=$C$9, C22&gt;0), C22*$C$8, 0)</f>
        <v/>
      </c>
      <c r="F22" s="18">
        <f>IF(AND(A22&lt;=$C$9, C22&gt;0), D22, 0)</f>
        <v/>
      </c>
      <c r="G22" s="17">
        <f>IF(AND(A22&lt;=$C$9, C22&gt;0), MIN(C22, MAX(0, F22-E22)), 0)</f>
        <v/>
      </c>
      <c r="H22" s="19">
        <f>IF(AND(A22&lt;=$C$9, C22&gt;0), MAX(0, C22-G22), 0)</f>
        <v/>
      </c>
      <c r="I22" s="15">
        <f>IF(A22&gt;$C$9, "", IF(C22=0, "Finalizado", IF(F22=0, "Sin Pago", IF(F22&gt;D22+100, "Abono Extra", IF(F22&lt;D22-100, "Pago Parcial", "Al Día")))))</f>
        <v/>
      </c>
    </row>
    <row r="23" ht="20" customHeight="1">
      <c r="A23" s="20" t="n">
        <v>10</v>
      </c>
      <c r="B23" s="21">
        <f>IF(A23&lt;=$C$9, EDATE($C$10, A23), "")</f>
        <v/>
      </c>
      <c r="C23" s="22">
        <f>IF(A23&lt;=$C$9, H22, 0)</f>
        <v/>
      </c>
      <c r="D23" s="22">
        <f>IF(AND(A23&lt;=$C$9, C23&gt;0), $H$5, 0)</f>
        <v/>
      </c>
      <c r="E23" s="22">
        <f>IF(AND(A23&lt;=$C$9, C23&gt;0), C23*$C$8, 0)</f>
        <v/>
      </c>
      <c r="F23" s="18">
        <f>IF(AND(A23&lt;=$C$9, C23&gt;0), D23, 0)</f>
        <v/>
      </c>
      <c r="G23" s="22">
        <f>IF(AND(A23&lt;=$C$9, C23&gt;0), MIN(C23, MAX(0, F23-E23)), 0)</f>
        <v/>
      </c>
      <c r="H23" s="23">
        <f>IF(AND(A23&lt;=$C$9, C23&gt;0), MAX(0, C23-G23), 0)</f>
        <v/>
      </c>
      <c r="I23" s="20">
        <f>IF(A23&gt;$C$9, "", IF(C23=0, "Finalizado", IF(F23=0, "Sin Pago", IF(F23&gt;D23+100, "Abono Extra", IF(F23&lt;D23-100, "Pago Parcial", "Al Día")))))</f>
        <v/>
      </c>
    </row>
    <row r="24" ht="20" customHeight="1">
      <c r="A24" s="15" t="n">
        <v>11</v>
      </c>
      <c r="B24" s="16">
        <f>IF(A24&lt;=$C$9, EDATE($C$10, A24), "")</f>
        <v/>
      </c>
      <c r="C24" s="17">
        <f>IF(A24&lt;=$C$9, H23, 0)</f>
        <v/>
      </c>
      <c r="D24" s="17">
        <f>IF(AND(A24&lt;=$C$9, C24&gt;0), $H$5, 0)</f>
        <v/>
      </c>
      <c r="E24" s="17">
        <f>IF(AND(A24&lt;=$C$9, C24&gt;0), C24*$C$8, 0)</f>
        <v/>
      </c>
      <c r="F24" s="18">
        <f>IF(AND(A24&lt;=$C$9, C24&gt;0), D24, 0)</f>
        <v/>
      </c>
      <c r="G24" s="17">
        <f>IF(AND(A24&lt;=$C$9, C24&gt;0), MIN(C24, MAX(0, F24-E24)), 0)</f>
        <v/>
      </c>
      <c r="H24" s="19">
        <f>IF(AND(A24&lt;=$C$9, C24&gt;0), MAX(0, C24-G24), 0)</f>
        <v/>
      </c>
      <c r="I24" s="15">
        <f>IF(A24&gt;$C$9, "", IF(C24=0, "Finalizado", IF(F24=0, "Sin Pago", IF(F24&gt;D24+100, "Abono Extra", IF(F24&lt;D24-100, "Pago Parcial", "Al Día")))))</f>
        <v/>
      </c>
    </row>
    <row r="25" ht="20" customHeight="1">
      <c r="A25" s="20" t="n">
        <v>12</v>
      </c>
      <c r="B25" s="21">
        <f>IF(A25&lt;=$C$9, EDATE($C$10, A25), "")</f>
        <v/>
      </c>
      <c r="C25" s="22">
        <f>IF(A25&lt;=$C$9, H24, 0)</f>
        <v/>
      </c>
      <c r="D25" s="22">
        <f>IF(AND(A25&lt;=$C$9, C25&gt;0), $H$5, 0)</f>
        <v/>
      </c>
      <c r="E25" s="22">
        <f>IF(AND(A25&lt;=$C$9, C25&gt;0), C25*$C$8, 0)</f>
        <v/>
      </c>
      <c r="F25" s="18">
        <f>IF(AND(A25&lt;=$C$9, C25&gt;0), D25, 0)</f>
        <v/>
      </c>
      <c r="G25" s="22">
        <f>IF(AND(A25&lt;=$C$9, C25&gt;0), MIN(C25, MAX(0, F25-E25)), 0)</f>
        <v/>
      </c>
      <c r="H25" s="23">
        <f>IF(AND(A25&lt;=$C$9, C25&gt;0), MAX(0, C25-G25), 0)</f>
        <v/>
      </c>
      <c r="I25" s="20">
        <f>IF(A25&gt;$C$9, "", IF(C25=0, "Finalizado", IF(F25=0, "Sin Pago", IF(F25&gt;D25+100, "Abono Extra", IF(F25&lt;D25-100, "Pago Parcial", "Al Día")))))</f>
        <v/>
      </c>
    </row>
    <row r="26" ht="20" customHeight="1">
      <c r="A26" s="15" t="n">
        <v>13</v>
      </c>
      <c r="B26" s="16">
        <f>IF(A26&lt;=$C$9, EDATE($C$10, A26), "")</f>
        <v/>
      </c>
      <c r="C26" s="17">
        <f>IF(A26&lt;=$C$9, H25, 0)</f>
        <v/>
      </c>
      <c r="D26" s="17">
        <f>IF(AND(A26&lt;=$C$9, C26&gt;0), $H$5, 0)</f>
        <v/>
      </c>
      <c r="E26" s="17">
        <f>IF(AND(A26&lt;=$C$9, C26&gt;0), C26*$C$8, 0)</f>
        <v/>
      </c>
      <c r="F26" s="18">
        <f>IF(AND(A26&lt;=$C$9, C26&gt;0), D26, 0)</f>
        <v/>
      </c>
      <c r="G26" s="17">
        <f>IF(AND(A26&lt;=$C$9, C26&gt;0), MIN(C26, MAX(0, F26-E26)), 0)</f>
        <v/>
      </c>
      <c r="H26" s="19">
        <f>IF(AND(A26&lt;=$C$9, C26&gt;0), MAX(0, C26-G26), 0)</f>
        <v/>
      </c>
      <c r="I26" s="15">
        <f>IF(A26&gt;$C$9, "", IF(C26=0, "Finalizado", IF(F26=0, "Sin Pago", IF(F26&gt;D26+100, "Abono Extra", IF(F26&lt;D26-100, "Pago Parcial", "Al Día")))))</f>
        <v/>
      </c>
    </row>
    <row r="27" ht="20" customHeight="1">
      <c r="A27" s="20" t="n">
        <v>14</v>
      </c>
      <c r="B27" s="21">
        <f>IF(A27&lt;=$C$9, EDATE($C$10, A27), "")</f>
        <v/>
      </c>
      <c r="C27" s="22">
        <f>IF(A27&lt;=$C$9, H26, 0)</f>
        <v/>
      </c>
      <c r="D27" s="22">
        <f>IF(AND(A27&lt;=$C$9, C27&gt;0), $H$5, 0)</f>
        <v/>
      </c>
      <c r="E27" s="22">
        <f>IF(AND(A27&lt;=$C$9, C27&gt;0), C27*$C$8, 0)</f>
        <v/>
      </c>
      <c r="F27" s="18">
        <f>IF(AND(A27&lt;=$C$9, C27&gt;0), D27, 0)</f>
        <v/>
      </c>
      <c r="G27" s="22">
        <f>IF(AND(A27&lt;=$C$9, C27&gt;0), MIN(C27, MAX(0, F27-E27)), 0)</f>
        <v/>
      </c>
      <c r="H27" s="23">
        <f>IF(AND(A27&lt;=$C$9, C27&gt;0), MAX(0, C27-G27), 0)</f>
        <v/>
      </c>
      <c r="I27" s="20">
        <f>IF(A27&gt;$C$9, "", IF(C27=0, "Finalizado", IF(F27=0, "Sin Pago", IF(F27&gt;D27+100, "Abono Extra", IF(F27&lt;D27-100, "Pago Parcial", "Al Día")))))</f>
        <v/>
      </c>
    </row>
    <row r="28" ht="20" customHeight="1">
      <c r="A28" s="15" t="n">
        <v>15</v>
      </c>
      <c r="B28" s="16">
        <f>IF(A28&lt;=$C$9, EDATE($C$10, A28), "")</f>
        <v/>
      </c>
      <c r="C28" s="17">
        <f>IF(A28&lt;=$C$9, H27, 0)</f>
        <v/>
      </c>
      <c r="D28" s="17">
        <f>IF(AND(A28&lt;=$C$9, C28&gt;0), $H$5, 0)</f>
        <v/>
      </c>
      <c r="E28" s="17">
        <f>IF(AND(A28&lt;=$C$9, C28&gt;0), C28*$C$8, 0)</f>
        <v/>
      </c>
      <c r="F28" s="18">
        <f>IF(AND(A28&lt;=$C$9, C28&gt;0), D28, 0)</f>
        <v/>
      </c>
      <c r="G28" s="17">
        <f>IF(AND(A28&lt;=$C$9, C28&gt;0), MIN(C28, MAX(0, F28-E28)), 0)</f>
        <v/>
      </c>
      <c r="H28" s="19">
        <f>IF(AND(A28&lt;=$C$9, C28&gt;0), MAX(0, C28-G28), 0)</f>
        <v/>
      </c>
      <c r="I28" s="15">
        <f>IF(A28&gt;$C$9, "", IF(C28=0, "Finalizado", IF(F28=0, "Sin Pago", IF(F28&gt;D28+100, "Abono Extra", IF(F28&lt;D28-100, "Pago Parcial", "Al Día")))))</f>
        <v/>
      </c>
    </row>
    <row r="29" ht="20" customHeight="1">
      <c r="A29" s="20" t="n">
        <v>16</v>
      </c>
      <c r="B29" s="21">
        <f>IF(A29&lt;=$C$9, EDATE($C$10, A29), "")</f>
        <v/>
      </c>
      <c r="C29" s="22">
        <f>IF(A29&lt;=$C$9, H28, 0)</f>
        <v/>
      </c>
      <c r="D29" s="22">
        <f>IF(AND(A29&lt;=$C$9, C29&gt;0), $H$5, 0)</f>
        <v/>
      </c>
      <c r="E29" s="22">
        <f>IF(AND(A29&lt;=$C$9, C29&gt;0), C29*$C$8, 0)</f>
        <v/>
      </c>
      <c r="F29" s="18">
        <f>IF(AND(A29&lt;=$C$9, C29&gt;0), D29, 0)</f>
        <v/>
      </c>
      <c r="G29" s="22">
        <f>IF(AND(A29&lt;=$C$9, C29&gt;0), MIN(C29, MAX(0, F29-E29)), 0)</f>
        <v/>
      </c>
      <c r="H29" s="23">
        <f>IF(AND(A29&lt;=$C$9, C29&gt;0), MAX(0, C29-G29), 0)</f>
        <v/>
      </c>
      <c r="I29" s="20">
        <f>IF(A29&gt;$C$9, "", IF(C29=0, "Finalizado", IF(F29=0, "Sin Pago", IF(F29&gt;D29+100, "Abono Extra", IF(F29&lt;D29-100, "Pago Parcial", "Al Día")))))</f>
        <v/>
      </c>
    </row>
    <row r="30" ht="20" customHeight="1">
      <c r="A30" s="15" t="n">
        <v>17</v>
      </c>
      <c r="B30" s="16">
        <f>IF(A30&lt;=$C$9, EDATE($C$10, A30), "")</f>
        <v/>
      </c>
      <c r="C30" s="17">
        <f>IF(A30&lt;=$C$9, H29, 0)</f>
        <v/>
      </c>
      <c r="D30" s="17">
        <f>IF(AND(A30&lt;=$C$9, C30&gt;0), $H$5, 0)</f>
        <v/>
      </c>
      <c r="E30" s="17">
        <f>IF(AND(A30&lt;=$C$9, C30&gt;0), C30*$C$8, 0)</f>
        <v/>
      </c>
      <c r="F30" s="18">
        <f>IF(AND(A30&lt;=$C$9, C30&gt;0), D30, 0)</f>
        <v/>
      </c>
      <c r="G30" s="17">
        <f>IF(AND(A30&lt;=$C$9, C30&gt;0), MIN(C30, MAX(0, F30-E30)), 0)</f>
        <v/>
      </c>
      <c r="H30" s="19">
        <f>IF(AND(A30&lt;=$C$9, C30&gt;0), MAX(0, C30-G30), 0)</f>
        <v/>
      </c>
      <c r="I30" s="15">
        <f>IF(A30&gt;$C$9, "", IF(C30=0, "Finalizado", IF(F30=0, "Sin Pago", IF(F30&gt;D30+100, "Abono Extra", IF(F30&lt;D30-100, "Pago Parcial", "Al Día")))))</f>
        <v/>
      </c>
    </row>
    <row r="31" ht="20" customHeight="1">
      <c r="A31" s="20" t="n">
        <v>18</v>
      </c>
      <c r="B31" s="21">
        <f>IF(A31&lt;=$C$9, EDATE($C$10, A31), "")</f>
        <v/>
      </c>
      <c r="C31" s="22">
        <f>IF(A31&lt;=$C$9, H30, 0)</f>
        <v/>
      </c>
      <c r="D31" s="22">
        <f>IF(AND(A31&lt;=$C$9, C31&gt;0), $H$5, 0)</f>
        <v/>
      </c>
      <c r="E31" s="22">
        <f>IF(AND(A31&lt;=$C$9, C31&gt;0), C31*$C$8, 0)</f>
        <v/>
      </c>
      <c r="F31" s="18">
        <f>IF(AND(A31&lt;=$C$9, C31&gt;0), D31, 0)</f>
        <v/>
      </c>
      <c r="G31" s="22">
        <f>IF(AND(A31&lt;=$C$9, C31&gt;0), MIN(C31, MAX(0, F31-E31)), 0)</f>
        <v/>
      </c>
      <c r="H31" s="23">
        <f>IF(AND(A31&lt;=$C$9, C31&gt;0), MAX(0, C31-G31), 0)</f>
        <v/>
      </c>
      <c r="I31" s="20">
        <f>IF(A31&gt;$C$9, "", IF(C31=0, "Finalizado", IF(F31=0, "Sin Pago", IF(F31&gt;D31+100, "Abono Extra", IF(F31&lt;D31-100, "Pago Parcial", "Al Día")))))</f>
        <v/>
      </c>
    </row>
    <row r="32" ht="20" customHeight="1">
      <c r="A32" s="15" t="n">
        <v>19</v>
      </c>
      <c r="B32" s="16">
        <f>IF(A32&lt;=$C$9, EDATE($C$10, A32), "")</f>
        <v/>
      </c>
      <c r="C32" s="17">
        <f>IF(A32&lt;=$C$9, H31, 0)</f>
        <v/>
      </c>
      <c r="D32" s="17">
        <f>IF(AND(A32&lt;=$C$9, C32&gt;0), $H$5, 0)</f>
        <v/>
      </c>
      <c r="E32" s="17">
        <f>IF(AND(A32&lt;=$C$9, C32&gt;0), C32*$C$8, 0)</f>
        <v/>
      </c>
      <c r="F32" s="18">
        <f>IF(AND(A32&lt;=$C$9, C32&gt;0), D32, 0)</f>
        <v/>
      </c>
      <c r="G32" s="17">
        <f>IF(AND(A32&lt;=$C$9, C32&gt;0), MIN(C32, MAX(0, F32-E32)), 0)</f>
        <v/>
      </c>
      <c r="H32" s="19">
        <f>IF(AND(A32&lt;=$C$9, C32&gt;0), MAX(0, C32-G32), 0)</f>
        <v/>
      </c>
      <c r="I32" s="15">
        <f>IF(A32&gt;$C$9, "", IF(C32=0, "Finalizado", IF(F32=0, "Sin Pago", IF(F32&gt;D32+100, "Abono Extra", IF(F32&lt;D32-100, "Pago Parcial", "Al Día")))))</f>
        <v/>
      </c>
    </row>
    <row r="33" ht="20" customHeight="1">
      <c r="A33" s="20" t="n">
        <v>20</v>
      </c>
      <c r="B33" s="21">
        <f>IF(A33&lt;=$C$9, EDATE($C$10, A33), "")</f>
        <v/>
      </c>
      <c r="C33" s="22">
        <f>IF(A33&lt;=$C$9, H32, 0)</f>
        <v/>
      </c>
      <c r="D33" s="22">
        <f>IF(AND(A33&lt;=$C$9, C33&gt;0), $H$5, 0)</f>
        <v/>
      </c>
      <c r="E33" s="22">
        <f>IF(AND(A33&lt;=$C$9, C33&gt;0), C33*$C$8, 0)</f>
        <v/>
      </c>
      <c r="F33" s="18">
        <f>IF(AND(A33&lt;=$C$9, C33&gt;0), D33, 0)</f>
        <v/>
      </c>
      <c r="G33" s="22">
        <f>IF(AND(A33&lt;=$C$9, C33&gt;0), MIN(C33, MAX(0, F33-E33)), 0)</f>
        <v/>
      </c>
      <c r="H33" s="23">
        <f>IF(AND(A33&lt;=$C$9, C33&gt;0), MAX(0, C33-G33), 0)</f>
        <v/>
      </c>
      <c r="I33" s="20">
        <f>IF(A33&gt;$C$9, "", IF(C33=0, "Finalizado", IF(F33=0, "Sin Pago", IF(F33&gt;D33+100, "Abono Extra", IF(F33&lt;D33-100, "Pago Parcial", "Al Día")))))</f>
        <v/>
      </c>
    </row>
    <row r="34" ht="20" customHeight="1">
      <c r="A34" s="15" t="n">
        <v>21</v>
      </c>
      <c r="B34" s="16">
        <f>IF(A34&lt;=$C$9, EDATE($C$10, A34), "")</f>
        <v/>
      </c>
      <c r="C34" s="17">
        <f>IF(A34&lt;=$C$9, H33, 0)</f>
        <v/>
      </c>
      <c r="D34" s="17">
        <f>IF(AND(A34&lt;=$C$9, C34&gt;0), $H$5, 0)</f>
        <v/>
      </c>
      <c r="E34" s="17">
        <f>IF(AND(A34&lt;=$C$9, C34&gt;0), C34*$C$8, 0)</f>
        <v/>
      </c>
      <c r="F34" s="18">
        <f>IF(AND(A34&lt;=$C$9, C34&gt;0), D34, 0)</f>
        <v/>
      </c>
      <c r="G34" s="17">
        <f>IF(AND(A34&lt;=$C$9, C34&gt;0), MIN(C34, MAX(0, F34-E34)), 0)</f>
        <v/>
      </c>
      <c r="H34" s="19">
        <f>IF(AND(A34&lt;=$C$9, C34&gt;0), MAX(0, C34-G34), 0)</f>
        <v/>
      </c>
      <c r="I34" s="15">
        <f>IF(A34&gt;$C$9, "", IF(C34=0, "Finalizado", IF(F34=0, "Sin Pago", IF(F34&gt;D34+100, "Abono Extra", IF(F34&lt;D34-100, "Pago Parcial", "Al Día")))))</f>
        <v/>
      </c>
    </row>
    <row r="35" ht="20" customHeight="1">
      <c r="A35" s="20" t="n">
        <v>22</v>
      </c>
      <c r="B35" s="21">
        <f>IF(A35&lt;=$C$9, EDATE($C$10, A35), "")</f>
        <v/>
      </c>
      <c r="C35" s="22">
        <f>IF(A35&lt;=$C$9, H34, 0)</f>
        <v/>
      </c>
      <c r="D35" s="22">
        <f>IF(AND(A35&lt;=$C$9, C35&gt;0), $H$5, 0)</f>
        <v/>
      </c>
      <c r="E35" s="22">
        <f>IF(AND(A35&lt;=$C$9, C35&gt;0), C35*$C$8, 0)</f>
        <v/>
      </c>
      <c r="F35" s="18">
        <f>IF(AND(A35&lt;=$C$9, C35&gt;0), D35, 0)</f>
        <v/>
      </c>
      <c r="G35" s="22">
        <f>IF(AND(A35&lt;=$C$9, C35&gt;0), MIN(C35, MAX(0, F35-E35)), 0)</f>
        <v/>
      </c>
      <c r="H35" s="23">
        <f>IF(AND(A35&lt;=$C$9, C35&gt;0), MAX(0, C35-G35), 0)</f>
        <v/>
      </c>
      <c r="I35" s="20">
        <f>IF(A35&gt;$C$9, "", IF(C35=0, "Finalizado", IF(F35=0, "Sin Pago", IF(F35&gt;D35+100, "Abono Extra", IF(F35&lt;D35-100, "Pago Parcial", "Al Día")))))</f>
        <v/>
      </c>
    </row>
    <row r="36" ht="20" customHeight="1">
      <c r="A36" s="15" t="n">
        <v>23</v>
      </c>
      <c r="B36" s="16">
        <f>IF(A36&lt;=$C$9, EDATE($C$10, A36), "")</f>
        <v/>
      </c>
      <c r="C36" s="17">
        <f>IF(A36&lt;=$C$9, H35, 0)</f>
        <v/>
      </c>
      <c r="D36" s="17">
        <f>IF(AND(A36&lt;=$C$9, C36&gt;0), $H$5, 0)</f>
        <v/>
      </c>
      <c r="E36" s="17">
        <f>IF(AND(A36&lt;=$C$9, C36&gt;0), C36*$C$8, 0)</f>
        <v/>
      </c>
      <c r="F36" s="18">
        <f>IF(AND(A36&lt;=$C$9, C36&gt;0), D36, 0)</f>
        <v/>
      </c>
      <c r="G36" s="17">
        <f>IF(AND(A36&lt;=$C$9, C36&gt;0), MIN(C36, MAX(0, F36-E36)), 0)</f>
        <v/>
      </c>
      <c r="H36" s="19">
        <f>IF(AND(A36&lt;=$C$9, C36&gt;0), MAX(0, C36-G36), 0)</f>
        <v/>
      </c>
      <c r="I36" s="15">
        <f>IF(A36&gt;$C$9, "", IF(C36=0, "Finalizado", IF(F36=0, "Sin Pago", IF(F36&gt;D36+100, "Abono Extra", IF(F36&lt;D36-100, "Pago Parcial", "Al Día")))))</f>
        <v/>
      </c>
    </row>
    <row r="37" ht="20" customHeight="1">
      <c r="A37" s="20" t="n">
        <v>24</v>
      </c>
      <c r="B37" s="21">
        <f>IF(A37&lt;=$C$9, EDATE($C$10, A37), "")</f>
        <v/>
      </c>
      <c r="C37" s="22">
        <f>IF(A37&lt;=$C$9, H36, 0)</f>
        <v/>
      </c>
      <c r="D37" s="22">
        <f>IF(AND(A37&lt;=$C$9, C37&gt;0), $H$5, 0)</f>
        <v/>
      </c>
      <c r="E37" s="22">
        <f>IF(AND(A37&lt;=$C$9, C37&gt;0), C37*$C$8, 0)</f>
        <v/>
      </c>
      <c r="F37" s="18">
        <f>IF(AND(A37&lt;=$C$9, C37&gt;0), D37, 0)</f>
        <v/>
      </c>
      <c r="G37" s="22">
        <f>IF(AND(A37&lt;=$C$9, C37&gt;0), MIN(C37, MAX(0, F37-E37)), 0)</f>
        <v/>
      </c>
      <c r="H37" s="23">
        <f>IF(AND(A37&lt;=$C$9, C37&gt;0), MAX(0, C37-G37), 0)</f>
        <v/>
      </c>
      <c r="I37" s="20">
        <f>IF(A37&gt;$C$9, "", IF(C37=0, "Finalizado", IF(F37=0, "Sin Pago", IF(F37&gt;D37+100, "Abono Extra", IF(F37&lt;D37-100, "Pago Parcial", "Al Día")))))</f>
        <v/>
      </c>
    </row>
    <row r="38" ht="20" customHeight="1">
      <c r="A38" s="15" t="n">
        <v>25</v>
      </c>
      <c r="B38" s="16">
        <f>IF(A38&lt;=$C$9, EDATE($C$10, A38), "")</f>
        <v/>
      </c>
      <c r="C38" s="17">
        <f>IF(A38&lt;=$C$9, H37, 0)</f>
        <v/>
      </c>
      <c r="D38" s="17">
        <f>IF(AND(A38&lt;=$C$9, C38&gt;0), $H$5, 0)</f>
        <v/>
      </c>
      <c r="E38" s="17">
        <f>IF(AND(A38&lt;=$C$9, C38&gt;0), C38*$C$8, 0)</f>
        <v/>
      </c>
      <c r="F38" s="18">
        <f>IF(AND(A38&lt;=$C$9, C38&gt;0), D38, 0)</f>
        <v/>
      </c>
      <c r="G38" s="17">
        <f>IF(AND(A38&lt;=$C$9, C38&gt;0), MIN(C38, MAX(0, F38-E38)), 0)</f>
        <v/>
      </c>
      <c r="H38" s="19">
        <f>IF(AND(A38&lt;=$C$9, C38&gt;0), MAX(0, C38-G38), 0)</f>
        <v/>
      </c>
      <c r="I38" s="15">
        <f>IF(A38&gt;$C$9, "", IF(C38=0, "Finalizado", IF(F38=0, "Sin Pago", IF(F38&gt;D38+100, "Abono Extra", IF(F38&lt;D38-100, "Pago Parcial", "Al Día")))))</f>
        <v/>
      </c>
    </row>
    <row r="39" ht="20" customHeight="1">
      <c r="A39" s="20" t="n">
        <v>26</v>
      </c>
      <c r="B39" s="21">
        <f>IF(A39&lt;=$C$9, EDATE($C$10, A39), "")</f>
        <v/>
      </c>
      <c r="C39" s="22">
        <f>IF(A39&lt;=$C$9, H38, 0)</f>
        <v/>
      </c>
      <c r="D39" s="22">
        <f>IF(AND(A39&lt;=$C$9, C39&gt;0), $H$5, 0)</f>
        <v/>
      </c>
      <c r="E39" s="22">
        <f>IF(AND(A39&lt;=$C$9, C39&gt;0), C39*$C$8, 0)</f>
        <v/>
      </c>
      <c r="F39" s="18">
        <f>IF(AND(A39&lt;=$C$9, C39&gt;0), D39, 0)</f>
        <v/>
      </c>
      <c r="G39" s="22">
        <f>IF(AND(A39&lt;=$C$9, C39&gt;0), MIN(C39, MAX(0, F39-E39)), 0)</f>
        <v/>
      </c>
      <c r="H39" s="23">
        <f>IF(AND(A39&lt;=$C$9, C39&gt;0), MAX(0, C39-G39), 0)</f>
        <v/>
      </c>
      <c r="I39" s="20">
        <f>IF(A39&gt;$C$9, "", IF(C39=0, "Finalizado", IF(F39=0, "Sin Pago", IF(F39&gt;D39+100, "Abono Extra", IF(F39&lt;D39-100, "Pago Parcial", "Al Día")))))</f>
        <v/>
      </c>
    </row>
    <row r="40" ht="20" customHeight="1">
      <c r="A40" s="15" t="n">
        <v>27</v>
      </c>
      <c r="B40" s="16">
        <f>IF(A40&lt;=$C$9, EDATE($C$10, A40), "")</f>
        <v/>
      </c>
      <c r="C40" s="17">
        <f>IF(A40&lt;=$C$9, H39, 0)</f>
        <v/>
      </c>
      <c r="D40" s="17">
        <f>IF(AND(A40&lt;=$C$9, C40&gt;0), $H$5, 0)</f>
        <v/>
      </c>
      <c r="E40" s="17">
        <f>IF(AND(A40&lt;=$C$9, C40&gt;0), C40*$C$8, 0)</f>
        <v/>
      </c>
      <c r="F40" s="18">
        <f>IF(AND(A40&lt;=$C$9, C40&gt;0), D40, 0)</f>
        <v/>
      </c>
      <c r="G40" s="17">
        <f>IF(AND(A40&lt;=$C$9, C40&gt;0), MIN(C40, MAX(0, F40-E40)), 0)</f>
        <v/>
      </c>
      <c r="H40" s="19">
        <f>IF(AND(A40&lt;=$C$9, C40&gt;0), MAX(0, C40-G40), 0)</f>
        <v/>
      </c>
      <c r="I40" s="15">
        <f>IF(A40&gt;$C$9, "", IF(C40=0, "Finalizado", IF(F40=0, "Sin Pago", IF(F40&gt;D40+100, "Abono Extra", IF(F40&lt;D40-100, "Pago Parcial", "Al Día")))))</f>
        <v/>
      </c>
    </row>
    <row r="41" ht="20" customHeight="1">
      <c r="A41" s="20" t="n">
        <v>28</v>
      </c>
      <c r="B41" s="21">
        <f>IF(A41&lt;=$C$9, EDATE($C$10, A41), "")</f>
        <v/>
      </c>
      <c r="C41" s="22">
        <f>IF(A41&lt;=$C$9, H40, 0)</f>
        <v/>
      </c>
      <c r="D41" s="22">
        <f>IF(AND(A41&lt;=$C$9, C41&gt;0), $H$5, 0)</f>
        <v/>
      </c>
      <c r="E41" s="22">
        <f>IF(AND(A41&lt;=$C$9, C41&gt;0), C41*$C$8, 0)</f>
        <v/>
      </c>
      <c r="F41" s="18">
        <f>IF(AND(A41&lt;=$C$9, C41&gt;0), D41, 0)</f>
        <v/>
      </c>
      <c r="G41" s="22">
        <f>IF(AND(A41&lt;=$C$9, C41&gt;0), MIN(C41, MAX(0, F41-E41)), 0)</f>
        <v/>
      </c>
      <c r="H41" s="23">
        <f>IF(AND(A41&lt;=$C$9, C41&gt;0), MAX(0, C41-G41), 0)</f>
        <v/>
      </c>
      <c r="I41" s="20">
        <f>IF(A41&gt;$C$9, "", IF(C41=0, "Finalizado", IF(F41=0, "Sin Pago", IF(F41&gt;D41+100, "Abono Extra", IF(F41&lt;D41-100, "Pago Parcial", "Al Día")))))</f>
        <v/>
      </c>
    </row>
    <row r="42" ht="20" customHeight="1">
      <c r="A42" s="15" t="n">
        <v>29</v>
      </c>
      <c r="B42" s="16">
        <f>IF(A42&lt;=$C$9, EDATE($C$10, A42), "")</f>
        <v/>
      </c>
      <c r="C42" s="17">
        <f>IF(A42&lt;=$C$9, H41, 0)</f>
        <v/>
      </c>
      <c r="D42" s="17">
        <f>IF(AND(A42&lt;=$C$9, C42&gt;0), $H$5, 0)</f>
        <v/>
      </c>
      <c r="E42" s="17">
        <f>IF(AND(A42&lt;=$C$9, C42&gt;0), C42*$C$8, 0)</f>
        <v/>
      </c>
      <c r="F42" s="18">
        <f>IF(AND(A42&lt;=$C$9, C42&gt;0), D42, 0)</f>
        <v/>
      </c>
      <c r="G42" s="17">
        <f>IF(AND(A42&lt;=$C$9, C42&gt;0), MIN(C42, MAX(0, F42-E42)), 0)</f>
        <v/>
      </c>
      <c r="H42" s="19">
        <f>IF(AND(A42&lt;=$C$9, C42&gt;0), MAX(0, C42-G42), 0)</f>
        <v/>
      </c>
      <c r="I42" s="15">
        <f>IF(A42&gt;$C$9, "", IF(C42=0, "Finalizado", IF(F42=0, "Sin Pago", IF(F42&gt;D42+100, "Abono Extra", IF(F42&lt;D42-100, "Pago Parcial", "Al Día")))))</f>
        <v/>
      </c>
    </row>
    <row r="43" ht="20" customHeight="1">
      <c r="A43" s="20" t="n">
        <v>30</v>
      </c>
      <c r="B43" s="21">
        <f>IF(A43&lt;=$C$9, EDATE($C$10, A43), "")</f>
        <v/>
      </c>
      <c r="C43" s="22">
        <f>IF(A43&lt;=$C$9, H42, 0)</f>
        <v/>
      </c>
      <c r="D43" s="22">
        <f>IF(AND(A43&lt;=$C$9, C43&gt;0), $H$5, 0)</f>
        <v/>
      </c>
      <c r="E43" s="22">
        <f>IF(AND(A43&lt;=$C$9, C43&gt;0), C43*$C$8, 0)</f>
        <v/>
      </c>
      <c r="F43" s="18">
        <f>IF(AND(A43&lt;=$C$9, C43&gt;0), D43, 0)</f>
        <v/>
      </c>
      <c r="G43" s="22">
        <f>IF(AND(A43&lt;=$C$9, C43&gt;0), MIN(C43, MAX(0, F43-E43)), 0)</f>
        <v/>
      </c>
      <c r="H43" s="23">
        <f>IF(AND(A43&lt;=$C$9, C43&gt;0), MAX(0, C43-G43), 0)</f>
        <v/>
      </c>
      <c r="I43" s="20">
        <f>IF(A43&gt;$C$9, "", IF(C43=0, "Finalizado", IF(F43=0, "Sin Pago", IF(F43&gt;D43+100, "Abono Extra", IF(F43&lt;D43-100, "Pago Parcial", "Al Día")))))</f>
        <v/>
      </c>
    </row>
    <row r="44" ht="20" customHeight="1">
      <c r="A44" s="15" t="n">
        <v>31</v>
      </c>
      <c r="B44" s="16">
        <f>IF(A44&lt;=$C$9, EDATE($C$10, A44), "")</f>
        <v/>
      </c>
      <c r="C44" s="17">
        <f>IF(A44&lt;=$C$9, H43, 0)</f>
        <v/>
      </c>
      <c r="D44" s="17">
        <f>IF(AND(A44&lt;=$C$9, C44&gt;0), $H$5, 0)</f>
        <v/>
      </c>
      <c r="E44" s="17">
        <f>IF(AND(A44&lt;=$C$9, C44&gt;0), C44*$C$8, 0)</f>
        <v/>
      </c>
      <c r="F44" s="18">
        <f>IF(AND(A44&lt;=$C$9, C44&gt;0), D44, 0)</f>
        <v/>
      </c>
      <c r="G44" s="17">
        <f>IF(AND(A44&lt;=$C$9, C44&gt;0), MIN(C44, MAX(0, F44-E44)), 0)</f>
        <v/>
      </c>
      <c r="H44" s="19">
        <f>IF(AND(A44&lt;=$C$9, C44&gt;0), MAX(0, C44-G44), 0)</f>
        <v/>
      </c>
      <c r="I44" s="15">
        <f>IF(A44&gt;$C$9, "", IF(C44=0, "Finalizado", IF(F44=0, "Sin Pago", IF(F44&gt;D44+100, "Abono Extra", IF(F44&lt;D44-100, "Pago Parcial", "Al Día")))))</f>
        <v/>
      </c>
    </row>
    <row r="45" ht="20" customHeight="1">
      <c r="A45" s="20" t="n">
        <v>32</v>
      </c>
      <c r="B45" s="21">
        <f>IF(A45&lt;=$C$9, EDATE($C$10, A45), "")</f>
        <v/>
      </c>
      <c r="C45" s="22">
        <f>IF(A45&lt;=$C$9, H44, 0)</f>
        <v/>
      </c>
      <c r="D45" s="22">
        <f>IF(AND(A45&lt;=$C$9, C45&gt;0), $H$5, 0)</f>
        <v/>
      </c>
      <c r="E45" s="22">
        <f>IF(AND(A45&lt;=$C$9, C45&gt;0), C45*$C$8, 0)</f>
        <v/>
      </c>
      <c r="F45" s="18">
        <f>IF(AND(A45&lt;=$C$9, C45&gt;0), D45, 0)</f>
        <v/>
      </c>
      <c r="G45" s="22">
        <f>IF(AND(A45&lt;=$C$9, C45&gt;0), MIN(C45, MAX(0, F45-E45)), 0)</f>
        <v/>
      </c>
      <c r="H45" s="23">
        <f>IF(AND(A45&lt;=$C$9, C45&gt;0), MAX(0, C45-G45), 0)</f>
        <v/>
      </c>
      <c r="I45" s="20">
        <f>IF(A45&gt;$C$9, "", IF(C45=0, "Finalizado", IF(F45=0, "Sin Pago", IF(F45&gt;D45+100, "Abono Extra", IF(F45&lt;D45-100, "Pago Parcial", "Al Día")))))</f>
        <v/>
      </c>
    </row>
    <row r="46" ht="20" customHeight="1">
      <c r="A46" s="15" t="n">
        <v>33</v>
      </c>
      <c r="B46" s="16">
        <f>IF(A46&lt;=$C$9, EDATE($C$10, A46), "")</f>
        <v/>
      </c>
      <c r="C46" s="17">
        <f>IF(A46&lt;=$C$9, H45, 0)</f>
        <v/>
      </c>
      <c r="D46" s="17">
        <f>IF(AND(A46&lt;=$C$9, C46&gt;0), $H$5, 0)</f>
        <v/>
      </c>
      <c r="E46" s="17">
        <f>IF(AND(A46&lt;=$C$9, C46&gt;0), C46*$C$8, 0)</f>
        <v/>
      </c>
      <c r="F46" s="18">
        <f>IF(AND(A46&lt;=$C$9, C46&gt;0), D46, 0)</f>
        <v/>
      </c>
      <c r="G46" s="17">
        <f>IF(AND(A46&lt;=$C$9, C46&gt;0), MIN(C46, MAX(0, F46-E46)), 0)</f>
        <v/>
      </c>
      <c r="H46" s="19">
        <f>IF(AND(A46&lt;=$C$9, C46&gt;0), MAX(0, C46-G46), 0)</f>
        <v/>
      </c>
      <c r="I46" s="15">
        <f>IF(A46&gt;$C$9, "", IF(C46=0, "Finalizado", IF(F46=0, "Sin Pago", IF(F46&gt;D46+100, "Abono Extra", IF(F46&lt;D46-100, "Pago Parcial", "Al Día")))))</f>
        <v/>
      </c>
    </row>
    <row r="47" ht="20" customHeight="1">
      <c r="A47" s="20" t="n">
        <v>34</v>
      </c>
      <c r="B47" s="21">
        <f>IF(A47&lt;=$C$9, EDATE($C$10, A47), "")</f>
        <v/>
      </c>
      <c r="C47" s="22">
        <f>IF(A47&lt;=$C$9, H46, 0)</f>
        <v/>
      </c>
      <c r="D47" s="22">
        <f>IF(AND(A47&lt;=$C$9, C47&gt;0), $H$5, 0)</f>
        <v/>
      </c>
      <c r="E47" s="22">
        <f>IF(AND(A47&lt;=$C$9, C47&gt;0), C47*$C$8, 0)</f>
        <v/>
      </c>
      <c r="F47" s="18">
        <f>IF(AND(A47&lt;=$C$9, C47&gt;0), D47, 0)</f>
        <v/>
      </c>
      <c r="G47" s="22">
        <f>IF(AND(A47&lt;=$C$9, C47&gt;0), MIN(C47, MAX(0, F47-E47)), 0)</f>
        <v/>
      </c>
      <c r="H47" s="23">
        <f>IF(AND(A47&lt;=$C$9, C47&gt;0), MAX(0, C47-G47), 0)</f>
        <v/>
      </c>
      <c r="I47" s="20">
        <f>IF(A47&gt;$C$9, "", IF(C47=0, "Finalizado", IF(F47=0, "Sin Pago", IF(F47&gt;D47+100, "Abono Extra", IF(F47&lt;D47-100, "Pago Parcial", "Al Día")))))</f>
        <v/>
      </c>
    </row>
    <row r="48" ht="20" customHeight="1">
      <c r="A48" s="15" t="n">
        <v>35</v>
      </c>
      <c r="B48" s="16">
        <f>IF(A48&lt;=$C$9, EDATE($C$10, A48), "")</f>
        <v/>
      </c>
      <c r="C48" s="17">
        <f>IF(A48&lt;=$C$9, H47, 0)</f>
        <v/>
      </c>
      <c r="D48" s="17">
        <f>IF(AND(A48&lt;=$C$9, C48&gt;0), $H$5, 0)</f>
        <v/>
      </c>
      <c r="E48" s="17">
        <f>IF(AND(A48&lt;=$C$9, C48&gt;0), C48*$C$8, 0)</f>
        <v/>
      </c>
      <c r="F48" s="18">
        <f>IF(AND(A48&lt;=$C$9, C48&gt;0), D48, 0)</f>
        <v/>
      </c>
      <c r="G48" s="17">
        <f>IF(AND(A48&lt;=$C$9, C48&gt;0), MIN(C48, MAX(0, F48-E48)), 0)</f>
        <v/>
      </c>
      <c r="H48" s="19">
        <f>IF(AND(A48&lt;=$C$9, C48&gt;0), MAX(0, C48-G48), 0)</f>
        <v/>
      </c>
      <c r="I48" s="15">
        <f>IF(A48&gt;$C$9, "", IF(C48=0, "Finalizado", IF(F48=0, "Sin Pago", IF(F48&gt;D48+100, "Abono Extra", IF(F48&lt;D48-100, "Pago Parcial", "Al Día")))))</f>
        <v/>
      </c>
    </row>
    <row r="49" ht="20" customHeight="1">
      <c r="A49" s="20" t="n">
        <v>36</v>
      </c>
      <c r="B49" s="21">
        <f>IF(A49&lt;=$C$9, EDATE($C$10, A49), "")</f>
        <v/>
      </c>
      <c r="C49" s="22">
        <f>IF(A49&lt;=$C$9, H48, 0)</f>
        <v/>
      </c>
      <c r="D49" s="22">
        <f>IF(AND(A49&lt;=$C$9, C49&gt;0), $H$5, 0)</f>
        <v/>
      </c>
      <c r="E49" s="22">
        <f>IF(AND(A49&lt;=$C$9, C49&gt;0), C49*$C$8, 0)</f>
        <v/>
      </c>
      <c r="F49" s="18">
        <f>IF(AND(A49&lt;=$C$9, C49&gt;0), D49, 0)</f>
        <v/>
      </c>
      <c r="G49" s="22">
        <f>IF(AND(A49&lt;=$C$9, C49&gt;0), MIN(C49, MAX(0, F49-E49)), 0)</f>
        <v/>
      </c>
      <c r="H49" s="23">
        <f>IF(AND(A49&lt;=$C$9, C49&gt;0), MAX(0, C49-G49), 0)</f>
        <v/>
      </c>
      <c r="I49" s="20">
        <f>IF(A49&gt;$C$9, "", IF(C49=0, "Finalizado", IF(F49=0, "Sin Pago", IF(F49&gt;D49+100, "Abono Extra", IF(F49&lt;D49-100, "Pago Parcial", "Al Día")))))</f>
        <v/>
      </c>
    </row>
    <row r="50" ht="20" customHeight="1">
      <c r="A50" s="15" t="n">
        <v>37</v>
      </c>
      <c r="B50" s="16">
        <f>IF(A50&lt;=$C$9, EDATE($C$10, A50), "")</f>
        <v/>
      </c>
      <c r="C50" s="17">
        <f>IF(A50&lt;=$C$9, H49, 0)</f>
        <v/>
      </c>
      <c r="D50" s="17">
        <f>IF(AND(A50&lt;=$C$9, C50&gt;0), $H$5, 0)</f>
        <v/>
      </c>
      <c r="E50" s="17">
        <f>IF(AND(A50&lt;=$C$9, C50&gt;0), C50*$C$8, 0)</f>
        <v/>
      </c>
      <c r="F50" s="18">
        <f>IF(AND(A50&lt;=$C$9, C50&gt;0), D50, 0)</f>
        <v/>
      </c>
      <c r="G50" s="17">
        <f>IF(AND(A50&lt;=$C$9, C50&gt;0), MIN(C50, MAX(0, F50-E50)), 0)</f>
        <v/>
      </c>
      <c r="H50" s="19">
        <f>IF(AND(A50&lt;=$C$9, C50&gt;0), MAX(0, C50-G50), 0)</f>
        <v/>
      </c>
      <c r="I50" s="15">
        <f>IF(A50&gt;$C$9, "", IF(C50=0, "Finalizado", IF(F50=0, "Sin Pago", IF(F50&gt;D50+100, "Abono Extra", IF(F50&lt;D50-100, "Pago Parcial", "Al Día")))))</f>
        <v/>
      </c>
    </row>
    <row r="51" ht="20" customHeight="1">
      <c r="A51" s="20" t="n">
        <v>38</v>
      </c>
      <c r="B51" s="21">
        <f>IF(A51&lt;=$C$9, EDATE($C$10, A51), "")</f>
        <v/>
      </c>
      <c r="C51" s="22">
        <f>IF(A51&lt;=$C$9, H50, 0)</f>
        <v/>
      </c>
      <c r="D51" s="22">
        <f>IF(AND(A51&lt;=$C$9, C51&gt;0), $H$5, 0)</f>
        <v/>
      </c>
      <c r="E51" s="22">
        <f>IF(AND(A51&lt;=$C$9, C51&gt;0), C51*$C$8, 0)</f>
        <v/>
      </c>
      <c r="F51" s="18">
        <f>IF(AND(A51&lt;=$C$9, C51&gt;0), D51, 0)</f>
        <v/>
      </c>
      <c r="G51" s="22">
        <f>IF(AND(A51&lt;=$C$9, C51&gt;0), MIN(C51, MAX(0, F51-E51)), 0)</f>
        <v/>
      </c>
      <c r="H51" s="23">
        <f>IF(AND(A51&lt;=$C$9, C51&gt;0), MAX(0, C51-G51), 0)</f>
        <v/>
      </c>
      <c r="I51" s="20">
        <f>IF(A51&gt;$C$9, "", IF(C51=0, "Finalizado", IF(F51=0, "Sin Pago", IF(F51&gt;D51+100, "Abono Extra", IF(F51&lt;D51-100, "Pago Parcial", "Al Día")))))</f>
        <v/>
      </c>
    </row>
    <row r="52" ht="20" customHeight="1">
      <c r="A52" s="15" t="n">
        <v>39</v>
      </c>
      <c r="B52" s="16">
        <f>IF(A52&lt;=$C$9, EDATE($C$10, A52), "")</f>
        <v/>
      </c>
      <c r="C52" s="17">
        <f>IF(A52&lt;=$C$9, H51, 0)</f>
        <v/>
      </c>
      <c r="D52" s="17">
        <f>IF(AND(A52&lt;=$C$9, C52&gt;0), $H$5, 0)</f>
        <v/>
      </c>
      <c r="E52" s="17">
        <f>IF(AND(A52&lt;=$C$9, C52&gt;0), C52*$C$8, 0)</f>
        <v/>
      </c>
      <c r="F52" s="18">
        <f>IF(AND(A52&lt;=$C$9, C52&gt;0), D52, 0)</f>
        <v/>
      </c>
      <c r="G52" s="17">
        <f>IF(AND(A52&lt;=$C$9, C52&gt;0), MIN(C52, MAX(0, F52-E52)), 0)</f>
        <v/>
      </c>
      <c r="H52" s="19">
        <f>IF(AND(A52&lt;=$C$9, C52&gt;0), MAX(0, C52-G52), 0)</f>
        <v/>
      </c>
      <c r="I52" s="15">
        <f>IF(A52&gt;$C$9, "", IF(C52=0, "Finalizado", IF(F52=0, "Sin Pago", IF(F52&gt;D52+100, "Abono Extra", IF(F52&lt;D52-100, "Pago Parcial", "Al Día")))))</f>
        <v/>
      </c>
    </row>
    <row r="53" ht="20" customHeight="1">
      <c r="A53" s="20" t="n">
        <v>40</v>
      </c>
      <c r="B53" s="21">
        <f>IF(A53&lt;=$C$9, EDATE($C$10, A53), "")</f>
        <v/>
      </c>
      <c r="C53" s="22">
        <f>IF(A53&lt;=$C$9, H52, 0)</f>
        <v/>
      </c>
      <c r="D53" s="22">
        <f>IF(AND(A53&lt;=$C$9, C53&gt;0), $H$5, 0)</f>
        <v/>
      </c>
      <c r="E53" s="22">
        <f>IF(AND(A53&lt;=$C$9, C53&gt;0), C53*$C$8, 0)</f>
        <v/>
      </c>
      <c r="F53" s="18">
        <f>IF(AND(A53&lt;=$C$9, C53&gt;0), D53, 0)</f>
        <v/>
      </c>
      <c r="G53" s="22">
        <f>IF(AND(A53&lt;=$C$9, C53&gt;0), MIN(C53, MAX(0, F53-E53)), 0)</f>
        <v/>
      </c>
      <c r="H53" s="23">
        <f>IF(AND(A53&lt;=$C$9, C53&gt;0), MAX(0, C53-G53), 0)</f>
        <v/>
      </c>
      <c r="I53" s="20">
        <f>IF(A53&gt;$C$9, "", IF(C53=0, "Finalizado", IF(F53=0, "Sin Pago", IF(F53&gt;D53+100, "Abono Extra", IF(F53&lt;D53-100, "Pago Parcial", "Al Día")))))</f>
        <v/>
      </c>
    </row>
    <row r="54" ht="20" customHeight="1">
      <c r="A54" s="15" t="n">
        <v>41</v>
      </c>
      <c r="B54" s="16">
        <f>IF(A54&lt;=$C$9, EDATE($C$10, A54), "")</f>
        <v/>
      </c>
      <c r="C54" s="17">
        <f>IF(A54&lt;=$C$9, H53, 0)</f>
        <v/>
      </c>
      <c r="D54" s="17">
        <f>IF(AND(A54&lt;=$C$9, C54&gt;0), $H$5, 0)</f>
        <v/>
      </c>
      <c r="E54" s="17">
        <f>IF(AND(A54&lt;=$C$9, C54&gt;0), C54*$C$8, 0)</f>
        <v/>
      </c>
      <c r="F54" s="18">
        <f>IF(AND(A54&lt;=$C$9, C54&gt;0), D54, 0)</f>
        <v/>
      </c>
      <c r="G54" s="17">
        <f>IF(AND(A54&lt;=$C$9, C54&gt;0), MIN(C54, MAX(0, F54-E54)), 0)</f>
        <v/>
      </c>
      <c r="H54" s="19">
        <f>IF(AND(A54&lt;=$C$9, C54&gt;0), MAX(0, C54-G54), 0)</f>
        <v/>
      </c>
      <c r="I54" s="15">
        <f>IF(A54&gt;$C$9, "", IF(C54=0, "Finalizado", IF(F54=0, "Sin Pago", IF(F54&gt;D54+100, "Abono Extra", IF(F54&lt;D54-100, "Pago Parcial", "Al Día")))))</f>
        <v/>
      </c>
    </row>
    <row r="55" ht="20" customHeight="1">
      <c r="A55" s="20" t="n">
        <v>42</v>
      </c>
      <c r="B55" s="21">
        <f>IF(A55&lt;=$C$9, EDATE($C$10, A55), "")</f>
        <v/>
      </c>
      <c r="C55" s="22">
        <f>IF(A55&lt;=$C$9, H54, 0)</f>
        <v/>
      </c>
      <c r="D55" s="22">
        <f>IF(AND(A55&lt;=$C$9, C55&gt;0), $H$5, 0)</f>
        <v/>
      </c>
      <c r="E55" s="22">
        <f>IF(AND(A55&lt;=$C$9, C55&gt;0), C55*$C$8, 0)</f>
        <v/>
      </c>
      <c r="F55" s="18">
        <f>IF(AND(A55&lt;=$C$9, C55&gt;0), D55, 0)</f>
        <v/>
      </c>
      <c r="G55" s="22">
        <f>IF(AND(A55&lt;=$C$9, C55&gt;0), MIN(C55, MAX(0, F55-E55)), 0)</f>
        <v/>
      </c>
      <c r="H55" s="23">
        <f>IF(AND(A55&lt;=$C$9, C55&gt;0), MAX(0, C55-G55), 0)</f>
        <v/>
      </c>
      <c r="I55" s="20">
        <f>IF(A55&gt;$C$9, "", IF(C55=0, "Finalizado", IF(F55=0, "Sin Pago", IF(F55&gt;D55+100, "Abono Extra", IF(F55&lt;D55-100, "Pago Parcial", "Al Día")))))</f>
        <v/>
      </c>
    </row>
    <row r="56" ht="20" customHeight="1">
      <c r="A56" s="15" t="n">
        <v>43</v>
      </c>
      <c r="B56" s="16">
        <f>IF(A56&lt;=$C$9, EDATE($C$10, A56), "")</f>
        <v/>
      </c>
      <c r="C56" s="17">
        <f>IF(A56&lt;=$C$9, H55, 0)</f>
        <v/>
      </c>
      <c r="D56" s="17">
        <f>IF(AND(A56&lt;=$C$9, C56&gt;0), $H$5, 0)</f>
        <v/>
      </c>
      <c r="E56" s="17">
        <f>IF(AND(A56&lt;=$C$9, C56&gt;0), C56*$C$8, 0)</f>
        <v/>
      </c>
      <c r="F56" s="18">
        <f>IF(AND(A56&lt;=$C$9, C56&gt;0), D56, 0)</f>
        <v/>
      </c>
      <c r="G56" s="17">
        <f>IF(AND(A56&lt;=$C$9, C56&gt;0), MIN(C56, MAX(0, F56-E56)), 0)</f>
        <v/>
      </c>
      <c r="H56" s="19">
        <f>IF(AND(A56&lt;=$C$9, C56&gt;0), MAX(0, C56-G56), 0)</f>
        <v/>
      </c>
      <c r="I56" s="15">
        <f>IF(A56&gt;$C$9, "", IF(C56=0, "Finalizado", IF(F56=0, "Sin Pago", IF(F56&gt;D56+100, "Abono Extra", IF(F56&lt;D56-100, "Pago Parcial", "Al Día")))))</f>
        <v/>
      </c>
    </row>
    <row r="57" ht="20" customHeight="1">
      <c r="A57" s="20" t="n">
        <v>44</v>
      </c>
      <c r="B57" s="21">
        <f>IF(A57&lt;=$C$9, EDATE($C$10, A57), "")</f>
        <v/>
      </c>
      <c r="C57" s="22">
        <f>IF(A57&lt;=$C$9, H56, 0)</f>
        <v/>
      </c>
      <c r="D57" s="22">
        <f>IF(AND(A57&lt;=$C$9, C57&gt;0), $H$5, 0)</f>
        <v/>
      </c>
      <c r="E57" s="22">
        <f>IF(AND(A57&lt;=$C$9, C57&gt;0), C57*$C$8, 0)</f>
        <v/>
      </c>
      <c r="F57" s="18">
        <f>IF(AND(A57&lt;=$C$9, C57&gt;0), D57, 0)</f>
        <v/>
      </c>
      <c r="G57" s="22">
        <f>IF(AND(A57&lt;=$C$9, C57&gt;0), MIN(C57, MAX(0, F57-E57)), 0)</f>
        <v/>
      </c>
      <c r="H57" s="23">
        <f>IF(AND(A57&lt;=$C$9, C57&gt;0), MAX(0, C57-G57), 0)</f>
        <v/>
      </c>
      <c r="I57" s="20">
        <f>IF(A57&gt;$C$9, "", IF(C57=0, "Finalizado", IF(F57=0, "Sin Pago", IF(F57&gt;D57+100, "Abono Extra", IF(F57&lt;D57-100, "Pago Parcial", "Al Día")))))</f>
        <v/>
      </c>
    </row>
    <row r="58" ht="20" customHeight="1">
      <c r="A58" s="15" t="n">
        <v>45</v>
      </c>
      <c r="B58" s="16">
        <f>IF(A58&lt;=$C$9, EDATE($C$10, A58), "")</f>
        <v/>
      </c>
      <c r="C58" s="17">
        <f>IF(A58&lt;=$C$9, H57, 0)</f>
        <v/>
      </c>
      <c r="D58" s="17">
        <f>IF(AND(A58&lt;=$C$9, C58&gt;0), $H$5, 0)</f>
        <v/>
      </c>
      <c r="E58" s="17">
        <f>IF(AND(A58&lt;=$C$9, C58&gt;0), C58*$C$8, 0)</f>
        <v/>
      </c>
      <c r="F58" s="18">
        <f>IF(AND(A58&lt;=$C$9, C58&gt;0), D58, 0)</f>
        <v/>
      </c>
      <c r="G58" s="17">
        <f>IF(AND(A58&lt;=$C$9, C58&gt;0), MIN(C58, MAX(0, F58-E58)), 0)</f>
        <v/>
      </c>
      <c r="H58" s="19">
        <f>IF(AND(A58&lt;=$C$9, C58&gt;0), MAX(0, C58-G58), 0)</f>
        <v/>
      </c>
      <c r="I58" s="15">
        <f>IF(A58&gt;$C$9, "", IF(C58=0, "Finalizado", IF(F58=0, "Sin Pago", IF(F58&gt;D58+100, "Abono Extra", IF(F58&lt;D58-100, "Pago Parcial", "Al Día")))))</f>
        <v/>
      </c>
    </row>
    <row r="59" ht="20" customHeight="1">
      <c r="A59" s="20" t="n">
        <v>46</v>
      </c>
      <c r="B59" s="21">
        <f>IF(A59&lt;=$C$9, EDATE($C$10, A59), "")</f>
        <v/>
      </c>
      <c r="C59" s="22">
        <f>IF(A59&lt;=$C$9, H58, 0)</f>
        <v/>
      </c>
      <c r="D59" s="22">
        <f>IF(AND(A59&lt;=$C$9, C59&gt;0), $H$5, 0)</f>
        <v/>
      </c>
      <c r="E59" s="22">
        <f>IF(AND(A59&lt;=$C$9, C59&gt;0), C59*$C$8, 0)</f>
        <v/>
      </c>
      <c r="F59" s="18">
        <f>IF(AND(A59&lt;=$C$9, C59&gt;0), D59, 0)</f>
        <v/>
      </c>
      <c r="G59" s="22">
        <f>IF(AND(A59&lt;=$C$9, C59&gt;0), MIN(C59, MAX(0, F59-E59)), 0)</f>
        <v/>
      </c>
      <c r="H59" s="23">
        <f>IF(AND(A59&lt;=$C$9, C59&gt;0), MAX(0, C59-G59), 0)</f>
        <v/>
      </c>
      <c r="I59" s="20">
        <f>IF(A59&gt;$C$9, "", IF(C59=0, "Finalizado", IF(F59=0, "Sin Pago", IF(F59&gt;D59+100, "Abono Extra", IF(F59&lt;D59-100, "Pago Parcial", "Al Día")))))</f>
        <v/>
      </c>
    </row>
    <row r="60" ht="20" customHeight="1">
      <c r="A60" s="15" t="n">
        <v>47</v>
      </c>
      <c r="B60" s="16">
        <f>IF(A60&lt;=$C$9, EDATE($C$10, A60), "")</f>
        <v/>
      </c>
      <c r="C60" s="17">
        <f>IF(A60&lt;=$C$9, H59, 0)</f>
        <v/>
      </c>
      <c r="D60" s="17">
        <f>IF(AND(A60&lt;=$C$9, C60&gt;0), $H$5, 0)</f>
        <v/>
      </c>
      <c r="E60" s="17">
        <f>IF(AND(A60&lt;=$C$9, C60&gt;0), C60*$C$8, 0)</f>
        <v/>
      </c>
      <c r="F60" s="18">
        <f>IF(AND(A60&lt;=$C$9, C60&gt;0), D60, 0)</f>
        <v/>
      </c>
      <c r="G60" s="17">
        <f>IF(AND(A60&lt;=$C$9, C60&gt;0), MIN(C60, MAX(0, F60-E60)), 0)</f>
        <v/>
      </c>
      <c r="H60" s="19">
        <f>IF(AND(A60&lt;=$C$9, C60&gt;0), MAX(0, C60-G60), 0)</f>
        <v/>
      </c>
      <c r="I60" s="15">
        <f>IF(A60&gt;$C$9, "", IF(C60=0, "Finalizado", IF(F60=0, "Sin Pago", IF(F60&gt;D60+100, "Abono Extra", IF(F60&lt;D60-100, "Pago Parcial", "Al Día")))))</f>
        <v/>
      </c>
    </row>
    <row r="61" ht="20" customHeight="1">
      <c r="A61" s="20" t="n">
        <v>48</v>
      </c>
      <c r="B61" s="21">
        <f>IF(A61&lt;=$C$9, EDATE($C$10, A61), "")</f>
        <v/>
      </c>
      <c r="C61" s="22">
        <f>IF(A61&lt;=$C$9, H60, 0)</f>
        <v/>
      </c>
      <c r="D61" s="22">
        <f>IF(AND(A61&lt;=$C$9, C61&gt;0), $H$5, 0)</f>
        <v/>
      </c>
      <c r="E61" s="22">
        <f>IF(AND(A61&lt;=$C$9, C61&gt;0), C61*$C$8, 0)</f>
        <v/>
      </c>
      <c r="F61" s="18">
        <f>IF(AND(A61&lt;=$C$9, C61&gt;0), D61, 0)</f>
        <v/>
      </c>
      <c r="G61" s="22">
        <f>IF(AND(A61&lt;=$C$9, C61&gt;0), MIN(C61, MAX(0, F61-E61)), 0)</f>
        <v/>
      </c>
      <c r="H61" s="23">
        <f>IF(AND(A61&lt;=$C$9, C61&gt;0), MAX(0, C61-G61), 0)</f>
        <v/>
      </c>
      <c r="I61" s="20">
        <f>IF(A61&gt;$C$9, "", IF(C61=0, "Finalizado", IF(F61=0, "Sin Pago", IF(F61&gt;D61+100, "Abono Extra", IF(F61&lt;D61-100, "Pago Parcial", "Al Día")))))</f>
        <v/>
      </c>
    </row>
    <row r="62" ht="20" customHeight="1">
      <c r="A62" s="15" t="n">
        <v>49</v>
      </c>
      <c r="B62" s="16">
        <f>IF(A62&lt;=$C$9, EDATE($C$10, A62), "")</f>
        <v/>
      </c>
      <c r="C62" s="17">
        <f>IF(A62&lt;=$C$9, H61, 0)</f>
        <v/>
      </c>
      <c r="D62" s="17">
        <f>IF(AND(A62&lt;=$C$9, C62&gt;0), $H$5, 0)</f>
        <v/>
      </c>
      <c r="E62" s="17">
        <f>IF(AND(A62&lt;=$C$9, C62&gt;0), C62*$C$8, 0)</f>
        <v/>
      </c>
      <c r="F62" s="18">
        <f>IF(AND(A62&lt;=$C$9, C62&gt;0), D62, 0)</f>
        <v/>
      </c>
      <c r="G62" s="17">
        <f>IF(AND(A62&lt;=$C$9, C62&gt;0), MIN(C62, MAX(0, F62-E62)), 0)</f>
        <v/>
      </c>
      <c r="H62" s="19">
        <f>IF(AND(A62&lt;=$C$9, C62&gt;0), MAX(0, C62-G62), 0)</f>
        <v/>
      </c>
      <c r="I62" s="15">
        <f>IF(A62&gt;$C$9, "", IF(C62=0, "Finalizado", IF(F62=0, "Sin Pago", IF(F62&gt;D62+100, "Abono Extra", IF(F62&lt;D62-100, "Pago Parcial", "Al Día")))))</f>
        <v/>
      </c>
    </row>
    <row r="63" ht="20" customHeight="1">
      <c r="A63" s="20" t="n">
        <v>50</v>
      </c>
      <c r="B63" s="21">
        <f>IF(A63&lt;=$C$9, EDATE($C$10, A63), "")</f>
        <v/>
      </c>
      <c r="C63" s="22">
        <f>IF(A63&lt;=$C$9, H62, 0)</f>
        <v/>
      </c>
      <c r="D63" s="22">
        <f>IF(AND(A63&lt;=$C$9, C63&gt;0), $H$5, 0)</f>
        <v/>
      </c>
      <c r="E63" s="22">
        <f>IF(AND(A63&lt;=$C$9, C63&gt;0), C63*$C$8, 0)</f>
        <v/>
      </c>
      <c r="F63" s="18">
        <f>IF(AND(A63&lt;=$C$9, C63&gt;0), D63, 0)</f>
        <v/>
      </c>
      <c r="G63" s="22">
        <f>IF(AND(A63&lt;=$C$9, C63&gt;0), MIN(C63, MAX(0, F63-E63)), 0)</f>
        <v/>
      </c>
      <c r="H63" s="23">
        <f>IF(AND(A63&lt;=$C$9, C63&gt;0), MAX(0, C63-G63), 0)</f>
        <v/>
      </c>
      <c r="I63" s="20">
        <f>IF(A63&gt;$C$9, "", IF(C63=0, "Finalizado", IF(F63=0, "Sin Pago", IF(F63&gt;D63+100, "Abono Extra", IF(F63&lt;D63-100, "Pago Parcial", "Al Día")))))</f>
        <v/>
      </c>
    </row>
    <row r="64" ht="20" customHeight="1">
      <c r="A64" s="15" t="n">
        <v>51</v>
      </c>
      <c r="B64" s="16">
        <f>IF(A64&lt;=$C$9, EDATE($C$10, A64), "")</f>
        <v/>
      </c>
      <c r="C64" s="17">
        <f>IF(A64&lt;=$C$9, H63, 0)</f>
        <v/>
      </c>
      <c r="D64" s="17">
        <f>IF(AND(A64&lt;=$C$9, C64&gt;0), $H$5, 0)</f>
        <v/>
      </c>
      <c r="E64" s="17">
        <f>IF(AND(A64&lt;=$C$9, C64&gt;0), C64*$C$8, 0)</f>
        <v/>
      </c>
      <c r="F64" s="18">
        <f>IF(AND(A64&lt;=$C$9, C64&gt;0), D64, 0)</f>
        <v/>
      </c>
      <c r="G64" s="17">
        <f>IF(AND(A64&lt;=$C$9, C64&gt;0), MIN(C64, MAX(0, F64-E64)), 0)</f>
        <v/>
      </c>
      <c r="H64" s="19">
        <f>IF(AND(A64&lt;=$C$9, C64&gt;0), MAX(0, C64-G64), 0)</f>
        <v/>
      </c>
      <c r="I64" s="15">
        <f>IF(A64&gt;$C$9, "", IF(C64=0, "Finalizado", IF(F64=0, "Sin Pago", IF(F64&gt;D64+100, "Abono Extra", IF(F64&lt;D64-100, "Pago Parcial", "Al Día")))))</f>
        <v/>
      </c>
    </row>
    <row r="65" ht="20" customHeight="1">
      <c r="A65" s="20" t="n">
        <v>52</v>
      </c>
      <c r="B65" s="21">
        <f>IF(A65&lt;=$C$9, EDATE($C$10, A65), "")</f>
        <v/>
      </c>
      <c r="C65" s="22">
        <f>IF(A65&lt;=$C$9, H64, 0)</f>
        <v/>
      </c>
      <c r="D65" s="22">
        <f>IF(AND(A65&lt;=$C$9, C65&gt;0), $H$5, 0)</f>
        <v/>
      </c>
      <c r="E65" s="22">
        <f>IF(AND(A65&lt;=$C$9, C65&gt;0), C65*$C$8, 0)</f>
        <v/>
      </c>
      <c r="F65" s="18">
        <f>IF(AND(A65&lt;=$C$9, C65&gt;0), D65, 0)</f>
        <v/>
      </c>
      <c r="G65" s="22">
        <f>IF(AND(A65&lt;=$C$9, C65&gt;0), MIN(C65, MAX(0, F65-E65)), 0)</f>
        <v/>
      </c>
      <c r="H65" s="23">
        <f>IF(AND(A65&lt;=$C$9, C65&gt;0), MAX(0, C65-G65), 0)</f>
        <v/>
      </c>
      <c r="I65" s="20">
        <f>IF(A65&gt;$C$9, "", IF(C65=0, "Finalizado", IF(F65=0, "Sin Pago", IF(F65&gt;D65+100, "Abono Extra", IF(F65&lt;D65-100, "Pago Parcial", "Al Día")))))</f>
        <v/>
      </c>
    </row>
    <row r="66" ht="20" customHeight="1">
      <c r="A66" s="15" t="n">
        <v>53</v>
      </c>
      <c r="B66" s="16">
        <f>IF(A66&lt;=$C$9, EDATE($C$10, A66), "")</f>
        <v/>
      </c>
      <c r="C66" s="17">
        <f>IF(A66&lt;=$C$9, H65, 0)</f>
        <v/>
      </c>
      <c r="D66" s="17">
        <f>IF(AND(A66&lt;=$C$9, C66&gt;0), $H$5, 0)</f>
        <v/>
      </c>
      <c r="E66" s="17">
        <f>IF(AND(A66&lt;=$C$9, C66&gt;0), C66*$C$8, 0)</f>
        <v/>
      </c>
      <c r="F66" s="18">
        <f>IF(AND(A66&lt;=$C$9, C66&gt;0), D66, 0)</f>
        <v/>
      </c>
      <c r="G66" s="17">
        <f>IF(AND(A66&lt;=$C$9, C66&gt;0), MIN(C66, MAX(0, F66-E66)), 0)</f>
        <v/>
      </c>
      <c r="H66" s="19">
        <f>IF(AND(A66&lt;=$C$9, C66&gt;0), MAX(0, C66-G66), 0)</f>
        <v/>
      </c>
      <c r="I66" s="15">
        <f>IF(A66&gt;$C$9, "", IF(C66=0, "Finalizado", IF(F66=0, "Sin Pago", IF(F66&gt;D66+100, "Abono Extra", IF(F66&lt;D66-100, "Pago Parcial", "Al Día")))))</f>
        <v/>
      </c>
    </row>
    <row r="67" ht="20" customHeight="1">
      <c r="A67" s="20" t="n">
        <v>54</v>
      </c>
      <c r="B67" s="21">
        <f>IF(A67&lt;=$C$9, EDATE($C$10, A67), "")</f>
        <v/>
      </c>
      <c r="C67" s="22">
        <f>IF(A67&lt;=$C$9, H66, 0)</f>
        <v/>
      </c>
      <c r="D67" s="22">
        <f>IF(AND(A67&lt;=$C$9, C67&gt;0), $H$5, 0)</f>
        <v/>
      </c>
      <c r="E67" s="22">
        <f>IF(AND(A67&lt;=$C$9, C67&gt;0), C67*$C$8, 0)</f>
        <v/>
      </c>
      <c r="F67" s="18">
        <f>IF(AND(A67&lt;=$C$9, C67&gt;0), D67, 0)</f>
        <v/>
      </c>
      <c r="G67" s="22">
        <f>IF(AND(A67&lt;=$C$9, C67&gt;0), MIN(C67, MAX(0, F67-E67)), 0)</f>
        <v/>
      </c>
      <c r="H67" s="23">
        <f>IF(AND(A67&lt;=$C$9, C67&gt;0), MAX(0, C67-G67), 0)</f>
        <v/>
      </c>
      <c r="I67" s="20">
        <f>IF(A67&gt;$C$9, "", IF(C67=0, "Finalizado", IF(F67=0, "Sin Pago", IF(F67&gt;D67+100, "Abono Extra", IF(F67&lt;D67-100, "Pago Parcial", "Al Día")))))</f>
        <v/>
      </c>
    </row>
    <row r="68" ht="20" customHeight="1">
      <c r="A68" s="15" t="n">
        <v>55</v>
      </c>
      <c r="B68" s="16">
        <f>IF(A68&lt;=$C$9, EDATE($C$10, A68), "")</f>
        <v/>
      </c>
      <c r="C68" s="17">
        <f>IF(A68&lt;=$C$9, H67, 0)</f>
        <v/>
      </c>
      <c r="D68" s="17">
        <f>IF(AND(A68&lt;=$C$9, C68&gt;0), $H$5, 0)</f>
        <v/>
      </c>
      <c r="E68" s="17">
        <f>IF(AND(A68&lt;=$C$9, C68&gt;0), C68*$C$8, 0)</f>
        <v/>
      </c>
      <c r="F68" s="18">
        <f>IF(AND(A68&lt;=$C$9, C68&gt;0), D68, 0)</f>
        <v/>
      </c>
      <c r="G68" s="17">
        <f>IF(AND(A68&lt;=$C$9, C68&gt;0), MIN(C68, MAX(0, F68-E68)), 0)</f>
        <v/>
      </c>
      <c r="H68" s="19">
        <f>IF(AND(A68&lt;=$C$9, C68&gt;0), MAX(0, C68-G68), 0)</f>
        <v/>
      </c>
      <c r="I68" s="15">
        <f>IF(A68&gt;$C$9, "", IF(C68=0, "Finalizado", IF(F68=0, "Sin Pago", IF(F68&gt;D68+100, "Abono Extra", IF(F68&lt;D68-100, "Pago Parcial", "Al Día")))))</f>
        <v/>
      </c>
    </row>
    <row r="69" ht="20" customHeight="1">
      <c r="A69" s="20" t="n">
        <v>56</v>
      </c>
      <c r="B69" s="21">
        <f>IF(A69&lt;=$C$9, EDATE($C$10, A69), "")</f>
        <v/>
      </c>
      <c r="C69" s="22">
        <f>IF(A69&lt;=$C$9, H68, 0)</f>
        <v/>
      </c>
      <c r="D69" s="22">
        <f>IF(AND(A69&lt;=$C$9, C69&gt;0), $H$5, 0)</f>
        <v/>
      </c>
      <c r="E69" s="22">
        <f>IF(AND(A69&lt;=$C$9, C69&gt;0), C69*$C$8, 0)</f>
        <v/>
      </c>
      <c r="F69" s="18">
        <f>IF(AND(A69&lt;=$C$9, C69&gt;0), D69, 0)</f>
        <v/>
      </c>
      <c r="G69" s="22">
        <f>IF(AND(A69&lt;=$C$9, C69&gt;0), MIN(C69, MAX(0, F69-E69)), 0)</f>
        <v/>
      </c>
      <c r="H69" s="23">
        <f>IF(AND(A69&lt;=$C$9, C69&gt;0), MAX(0, C69-G69), 0)</f>
        <v/>
      </c>
      <c r="I69" s="20">
        <f>IF(A69&gt;$C$9, "", IF(C69=0, "Finalizado", IF(F69=0, "Sin Pago", IF(F69&gt;D69+100, "Abono Extra", IF(F69&lt;D69-100, "Pago Parcial", "Al Día")))))</f>
        <v/>
      </c>
    </row>
    <row r="70" ht="20" customHeight="1">
      <c r="A70" s="15" t="n">
        <v>57</v>
      </c>
      <c r="B70" s="16">
        <f>IF(A70&lt;=$C$9, EDATE($C$10, A70), "")</f>
        <v/>
      </c>
      <c r="C70" s="17">
        <f>IF(A70&lt;=$C$9, H69, 0)</f>
        <v/>
      </c>
      <c r="D70" s="17">
        <f>IF(AND(A70&lt;=$C$9, C70&gt;0), $H$5, 0)</f>
        <v/>
      </c>
      <c r="E70" s="17">
        <f>IF(AND(A70&lt;=$C$9, C70&gt;0), C70*$C$8, 0)</f>
        <v/>
      </c>
      <c r="F70" s="18">
        <f>IF(AND(A70&lt;=$C$9, C70&gt;0), D70, 0)</f>
        <v/>
      </c>
      <c r="G70" s="17">
        <f>IF(AND(A70&lt;=$C$9, C70&gt;0), MIN(C70, MAX(0, F70-E70)), 0)</f>
        <v/>
      </c>
      <c r="H70" s="19">
        <f>IF(AND(A70&lt;=$C$9, C70&gt;0), MAX(0, C70-G70), 0)</f>
        <v/>
      </c>
      <c r="I70" s="15">
        <f>IF(A70&gt;$C$9, "", IF(C70=0, "Finalizado", IF(F70=0, "Sin Pago", IF(F70&gt;D70+100, "Abono Extra", IF(F70&lt;D70-100, "Pago Parcial", "Al Día")))))</f>
        <v/>
      </c>
    </row>
    <row r="71" ht="20" customHeight="1">
      <c r="A71" s="20" t="n">
        <v>58</v>
      </c>
      <c r="B71" s="21">
        <f>IF(A71&lt;=$C$9, EDATE($C$10, A71), "")</f>
        <v/>
      </c>
      <c r="C71" s="22">
        <f>IF(A71&lt;=$C$9, H70, 0)</f>
        <v/>
      </c>
      <c r="D71" s="22">
        <f>IF(AND(A71&lt;=$C$9, C71&gt;0), $H$5, 0)</f>
        <v/>
      </c>
      <c r="E71" s="22">
        <f>IF(AND(A71&lt;=$C$9, C71&gt;0), C71*$C$8, 0)</f>
        <v/>
      </c>
      <c r="F71" s="18">
        <f>IF(AND(A71&lt;=$C$9, C71&gt;0), D71, 0)</f>
        <v/>
      </c>
      <c r="G71" s="22">
        <f>IF(AND(A71&lt;=$C$9, C71&gt;0), MIN(C71, MAX(0, F71-E71)), 0)</f>
        <v/>
      </c>
      <c r="H71" s="23">
        <f>IF(AND(A71&lt;=$C$9, C71&gt;0), MAX(0, C71-G71), 0)</f>
        <v/>
      </c>
      <c r="I71" s="20">
        <f>IF(A71&gt;$C$9, "", IF(C71=0, "Finalizado", IF(F71=0, "Sin Pago", IF(F71&gt;D71+100, "Abono Extra", IF(F71&lt;D71-100, "Pago Parcial", "Al Día")))))</f>
        <v/>
      </c>
    </row>
    <row r="72" ht="20" customHeight="1">
      <c r="A72" s="15" t="n">
        <v>59</v>
      </c>
      <c r="B72" s="16">
        <f>IF(A72&lt;=$C$9, EDATE($C$10, A72), "")</f>
        <v/>
      </c>
      <c r="C72" s="17">
        <f>IF(A72&lt;=$C$9, H71, 0)</f>
        <v/>
      </c>
      <c r="D72" s="17">
        <f>IF(AND(A72&lt;=$C$9, C72&gt;0), $H$5, 0)</f>
        <v/>
      </c>
      <c r="E72" s="17">
        <f>IF(AND(A72&lt;=$C$9, C72&gt;0), C72*$C$8, 0)</f>
        <v/>
      </c>
      <c r="F72" s="18">
        <f>IF(AND(A72&lt;=$C$9, C72&gt;0), D72, 0)</f>
        <v/>
      </c>
      <c r="G72" s="17">
        <f>IF(AND(A72&lt;=$C$9, C72&gt;0), MIN(C72, MAX(0, F72-E72)), 0)</f>
        <v/>
      </c>
      <c r="H72" s="19">
        <f>IF(AND(A72&lt;=$C$9, C72&gt;0), MAX(0, C72-G72), 0)</f>
        <v/>
      </c>
      <c r="I72" s="15">
        <f>IF(A72&gt;$C$9, "", IF(C72=0, "Finalizado", IF(F72=0, "Sin Pago", IF(F72&gt;D72+100, "Abono Extra", IF(F72&lt;D72-100, "Pago Parcial", "Al Día")))))</f>
        <v/>
      </c>
    </row>
    <row r="73" ht="20" customHeight="1">
      <c r="A73" s="20" t="n">
        <v>60</v>
      </c>
      <c r="B73" s="21">
        <f>IF(A73&lt;=$C$9, EDATE($C$10, A73), "")</f>
        <v/>
      </c>
      <c r="C73" s="22">
        <f>IF(A73&lt;=$C$9, H72, 0)</f>
        <v/>
      </c>
      <c r="D73" s="22">
        <f>IF(AND(A73&lt;=$C$9, C73&gt;0), $H$5, 0)</f>
        <v/>
      </c>
      <c r="E73" s="22">
        <f>IF(AND(A73&lt;=$C$9, C73&gt;0), C73*$C$8, 0)</f>
        <v/>
      </c>
      <c r="F73" s="18">
        <f>IF(AND(A73&lt;=$C$9, C73&gt;0), D73, 0)</f>
        <v/>
      </c>
      <c r="G73" s="22">
        <f>IF(AND(A73&lt;=$C$9, C73&gt;0), MIN(C73, MAX(0, F73-E73)), 0)</f>
        <v/>
      </c>
      <c r="H73" s="23">
        <f>IF(AND(A73&lt;=$C$9, C73&gt;0), MAX(0, C73-G73), 0)</f>
        <v/>
      </c>
      <c r="I73" s="20">
        <f>IF(A73&gt;$C$9, "", IF(C73=0, "Finalizado", IF(F73=0, "Sin Pago", IF(F73&gt;D73+100, "Abono Extra", IF(F73&lt;D73-100, "Pago Parcial", "Al Día")))))</f>
        <v/>
      </c>
    </row>
    <row r="74" ht="20" customHeight="1">
      <c r="A74" s="15" t="n">
        <v>61</v>
      </c>
      <c r="B74" s="16">
        <f>IF(A74&lt;=$C$9, EDATE($C$10, A74), "")</f>
        <v/>
      </c>
      <c r="C74" s="17">
        <f>IF(A74&lt;=$C$9, H73, 0)</f>
        <v/>
      </c>
      <c r="D74" s="17">
        <f>IF(AND(A74&lt;=$C$9, C74&gt;0), $H$5, 0)</f>
        <v/>
      </c>
      <c r="E74" s="17">
        <f>IF(AND(A74&lt;=$C$9, C74&gt;0), C74*$C$8, 0)</f>
        <v/>
      </c>
      <c r="F74" s="18">
        <f>IF(AND(A74&lt;=$C$9, C74&gt;0), D74, 0)</f>
        <v/>
      </c>
      <c r="G74" s="17">
        <f>IF(AND(A74&lt;=$C$9, C74&gt;0), MIN(C74, MAX(0, F74-E74)), 0)</f>
        <v/>
      </c>
      <c r="H74" s="19">
        <f>IF(AND(A74&lt;=$C$9, C74&gt;0), MAX(0, C74-G74), 0)</f>
        <v/>
      </c>
      <c r="I74" s="15">
        <f>IF(A74&gt;$C$9, "", IF(C74=0, "Finalizado", IF(F74=0, "Sin Pago", IF(F74&gt;D74+100, "Abono Extra", IF(F74&lt;D74-100, "Pago Parcial", "Al Día")))))</f>
        <v/>
      </c>
    </row>
    <row r="75" ht="20" customHeight="1">
      <c r="A75" s="20" t="n">
        <v>62</v>
      </c>
      <c r="B75" s="21">
        <f>IF(A75&lt;=$C$9, EDATE($C$10, A75), "")</f>
        <v/>
      </c>
      <c r="C75" s="22">
        <f>IF(A75&lt;=$C$9, H74, 0)</f>
        <v/>
      </c>
      <c r="D75" s="22">
        <f>IF(AND(A75&lt;=$C$9, C75&gt;0), $H$5, 0)</f>
        <v/>
      </c>
      <c r="E75" s="22">
        <f>IF(AND(A75&lt;=$C$9, C75&gt;0), C75*$C$8, 0)</f>
        <v/>
      </c>
      <c r="F75" s="18">
        <f>IF(AND(A75&lt;=$C$9, C75&gt;0), D75, 0)</f>
        <v/>
      </c>
      <c r="G75" s="22">
        <f>IF(AND(A75&lt;=$C$9, C75&gt;0), MIN(C75, MAX(0, F75-E75)), 0)</f>
        <v/>
      </c>
      <c r="H75" s="23">
        <f>IF(AND(A75&lt;=$C$9, C75&gt;0), MAX(0, C75-G75), 0)</f>
        <v/>
      </c>
      <c r="I75" s="20">
        <f>IF(A75&gt;$C$9, "", IF(C75=0, "Finalizado", IF(F75=0, "Sin Pago", IF(F75&gt;D75+100, "Abono Extra", IF(F75&lt;D75-100, "Pago Parcial", "Al Día")))))</f>
        <v/>
      </c>
    </row>
    <row r="76" ht="20" customHeight="1">
      <c r="A76" s="15" t="n">
        <v>63</v>
      </c>
      <c r="B76" s="16">
        <f>IF(A76&lt;=$C$9, EDATE($C$10, A76), "")</f>
        <v/>
      </c>
      <c r="C76" s="17">
        <f>IF(A76&lt;=$C$9, H75, 0)</f>
        <v/>
      </c>
      <c r="D76" s="17">
        <f>IF(AND(A76&lt;=$C$9, C76&gt;0), $H$5, 0)</f>
        <v/>
      </c>
      <c r="E76" s="17">
        <f>IF(AND(A76&lt;=$C$9, C76&gt;0), C76*$C$8, 0)</f>
        <v/>
      </c>
      <c r="F76" s="18">
        <f>IF(AND(A76&lt;=$C$9, C76&gt;0), D76, 0)</f>
        <v/>
      </c>
      <c r="G76" s="17">
        <f>IF(AND(A76&lt;=$C$9, C76&gt;0), MIN(C76, MAX(0, F76-E76)), 0)</f>
        <v/>
      </c>
      <c r="H76" s="19">
        <f>IF(AND(A76&lt;=$C$9, C76&gt;0), MAX(0, C76-G76), 0)</f>
        <v/>
      </c>
      <c r="I76" s="15">
        <f>IF(A76&gt;$C$9, "", IF(C76=0, "Finalizado", IF(F76=0, "Sin Pago", IF(F76&gt;D76+100, "Abono Extra", IF(F76&lt;D76-100, "Pago Parcial", "Al Día")))))</f>
        <v/>
      </c>
    </row>
    <row r="77" ht="20" customHeight="1">
      <c r="A77" s="20" t="n">
        <v>64</v>
      </c>
      <c r="B77" s="21">
        <f>IF(A77&lt;=$C$9, EDATE($C$10, A77), "")</f>
        <v/>
      </c>
      <c r="C77" s="22">
        <f>IF(A77&lt;=$C$9, H76, 0)</f>
        <v/>
      </c>
      <c r="D77" s="22">
        <f>IF(AND(A77&lt;=$C$9, C77&gt;0), $H$5, 0)</f>
        <v/>
      </c>
      <c r="E77" s="22">
        <f>IF(AND(A77&lt;=$C$9, C77&gt;0), C77*$C$8, 0)</f>
        <v/>
      </c>
      <c r="F77" s="18">
        <f>IF(AND(A77&lt;=$C$9, C77&gt;0), D77, 0)</f>
        <v/>
      </c>
      <c r="G77" s="22">
        <f>IF(AND(A77&lt;=$C$9, C77&gt;0), MIN(C77, MAX(0, F77-E77)), 0)</f>
        <v/>
      </c>
      <c r="H77" s="23">
        <f>IF(AND(A77&lt;=$C$9, C77&gt;0), MAX(0, C77-G77), 0)</f>
        <v/>
      </c>
      <c r="I77" s="20">
        <f>IF(A77&gt;$C$9, "", IF(C77=0, "Finalizado", IF(F77=0, "Sin Pago", IF(F77&gt;D77+100, "Abono Extra", IF(F77&lt;D77-100, "Pago Parcial", "Al Día")))))</f>
        <v/>
      </c>
    </row>
    <row r="78" ht="20" customHeight="1">
      <c r="A78" s="15" t="n">
        <v>65</v>
      </c>
      <c r="B78" s="16">
        <f>IF(A78&lt;=$C$9, EDATE($C$10, A78), "")</f>
        <v/>
      </c>
      <c r="C78" s="17">
        <f>IF(A78&lt;=$C$9, H77, 0)</f>
        <v/>
      </c>
      <c r="D78" s="17">
        <f>IF(AND(A78&lt;=$C$9, C78&gt;0), $H$5, 0)</f>
        <v/>
      </c>
      <c r="E78" s="17">
        <f>IF(AND(A78&lt;=$C$9, C78&gt;0), C78*$C$8, 0)</f>
        <v/>
      </c>
      <c r="F78" s="18">
        <f>IF(AND(A78&lt;=$C$9, C78&gt;0), D78, 0)</f>
        <v/>
      </c>
      <c r="G78" s="17">
        <f>IF(AND(A78&lt;=$C$9, C78&gt;0), MIN(C78, MAX(0, F78-E78)), 0)</f>
        <v/>
      </c>
      <c r="H78" s="19">
        <f>IF(AND(A78&lt;=$C$9, C78&gt;0), MAX(0, C78-G78), 0)</f>
        <v/>
      </c>
      <c r="I78" s="15">
        <f>IF(A78&gt;$C$9, "", IF(C78=0, "Finalizado", IF(F78=0, "Sin Pago", IF(F78&gt;D78+100, "Abono Extra", IF(F78&lt;D78-100, "Pago Parcial", "Al Día")))))</f>
        <v/>
      </c>
    </row>
    <row r="79" ht="20" customHeight="1">
      <c r="A79" s="20" t="n">
        <v>66</v>
      </c>
      <c r="B79" s="21">
        <f>IF(A79&lt;=$C$9, EDATE($C$10, A79), "")</f>
        <v/>
      </c>
      <c r="C79" s="22">
        <f>IF(A79&lt;=$C$9, H78, 0)</f>
        <v/>
      </c>
      <c r="D79" s="22">
        <f>IF(AND(A79&lt;=$C$9, C79&gt;0), $H$5, 0)</f>
        <v/>
      </c>
      <c r="E79" s="22">
        <f>IF(AND(A79&lt;=$C$9, C79&gt;0), C79*$C$8, 0)</f>
        <v/>
      </c>
      <c r="F79" s="18">
        <f>IF(AND(A79&lt;=$C$9, C79&gt;0), D79, 0)</f>
        <v/>
      </c>
      <c r="G79" s="22">
        <f>IF(AND(A79&lt;=$C$9, C79&gt;0), MIN(C79, MAX(0, F79-E79)), 0)</f>
        <v/>
      </c>
      <c r="H79" s="23">
        <f>IF(AND(A79&lt;=$C$9, C79&gt;0), MAX(0, C79-G79), 0)</f>
        <v/>
      </c>
      <c r="I79" s="20">
        <f>IF(A79&gt;$C$9, "", IF(C79=0, "Finalizado", IF(F79=0, "Sin Pago", IF(F79&gt;D79+100, "Abono Extra", IF(F79&lt;D79-100, "Pago Parcial", "Al Día")))))</f>
        <v/>
      </c>
    </row>
    <row r="80" ht="20" customHeight="1">
      <c r="A80" s="15" t="n">
        <v>67</v>
      </c>
      <c r="B80" s="16">
        <f>IF(A80&lt;=$C$9, EDATE($C$10, A80), "")</f>
        <v/>
      </c>
      <c r="C80" s="17">
        <f>IF(A80&lt;=$C$9, H79, 0)</f>
        <v/>
      </c>
      <c r="D80" s="17">
        <f>IF(AND(A80&lt;=$C$9, C80&gt;0), $H$5, 0)</f>
        <v/>
      </c>
      <c r="E80" s="17">
        <f>IF(AND(A80&lt;=$C$9, C80&gt;0), C80*$C$8, 0)</f>
        <v/>
      </c>
      <c r="F80" s="18">
        <f>IF(AND(A80&lt;=$C$9, C80&gt;0), D80, 0)</f>
        <v/>
      </c>
      <c r="G80" s="17">
        <f>IF(AND(A80&lt;=$C$9, C80&gt;0), MIN(C80, MAX(0, F80-E80)), 0)</f>
        <v/>
      </c>
      <c r="H80" s="19">
        <f>IF(AND(A80&lt;=$C$9, C80&gt;0), MAX(0, C80-G80), 0)</f>
        <v/>
      </c>
      <c r="I80" s="15">
        <f>IF(A80&gt;$C$9, "", IF(C80=0, "Finalizado", IF(F80=0, "Sin Pago", IF(F80&gt;D80+100, "Abono Extra", IF(F80&lt;D80-100, "Pago Parcial", "Al Día")))))</f>
        <v/>
      </c>
    </row>
    <row r="81" ht="20" customHeight="1">
      <c r="A81" s="20" t="n">
        <v>68</v>
      </c>
      <c r="B81" s="21">
        <f>IF(A81&lt;=$C$9, EDATE($C$10, A81), "")</f>
        <v/>
      </c>
      <c r="C81" s="22">
        <f>IF(A81&lt;=$C$9, H80, 0)</f>
        <v/>
      </c>
      <c r="D81" s="22">
        <f>IF(AND(A81&lt;=$C$9, C81&gt;0), $H$5, 0)</f>
        <v/>
      </c>
      <c r="E81" s="22">
        <f>IF(AND(A81&lt;=$C$9, C81&gt;0), C81*$C$8, 0)</f>
        <v/>
      </c>
      <c r="F81" s="18">
        <f>IF(AND(A81&lt;=$C$9, C81&gt;0), D81, 0)</f>
        <v/>
      </c>
      <c r="G81" s="22">
        <f>IF(AND(A81&lt;=$C$9, C81&gt;0), MIN(C81, MAX(0, F81-E81)), 0)</f>
        <v/>
      </c>
      <c r="H81" s="23">
        <f>IF(AND(A81&lt;=$C$9, C81&gt;0), MAX(0, C81-G81), 0)</f>
        <v/>
      </c>
      <c r="I81" s="20">
        <f>IF(A81&gt;$C$9, "", IF(C81=0, "Finalizado", IF(F81=0, "Sin Pago", IF(F81&gt;D81+100, "Abono Extra", IF(F81&lt;D81-100, "Pago Parcial", "Al Día")))))</f>
        <v/>
      </c>
    </row>
    <row r="82" ht="20" customHeight="1">
      <c r="A82" s="15" t="n">
        <v>69</v>
      </c>
      <c r="B82" s="16">
        <f>IF(A82&lt;=$C$9, EDATE($C$10, A82), "")</f>
        <v/>
      </c>
      <c r="C82" s="17">
        <f>IF(A82&lt;=$C$9, H81, 0)</f>
        <v/>
      </c>
      <c r="D82" s="17">
        <f>IF(AND(A82&lt;=$C$9, C82&gt;0), $H$5, 0)</f>
        <v/>
      </c>
      <c r="E82" s="17">
        <f>IF(AND(A82&lt;=$C$9, C82&gt;0), C82*$C$8, 0)</f>
        <v/>
      </c>
      <c r="F82" s="18">
        <f>IF(AND(A82&lt;=$C$9, C82&gt;0), D82, 0)</f>
        <v/>
      </c>
      <c r="G82" s="17">
        <f>IF(AND(A82&lt;=$C$9, C82&gt;0), MIN(C82, MAX(0, F82-E82)), 0)</f>
        <v/>
      </c>
      <c r="H82" s="19">
        <f>IF(AND(A82&lt;=$C$9, C82&gt;0), MAX(0, C82-G82), 0)</f>
        <v/>
      </c>
      <c r="I82" s="15">
        <f>IF(A82&gt;$C$9, "", IF(C82=0, "Finalizado", IF(F82=0, "Sin Pago", IF(F82&gt;D82+100, "Abono Extra", IF(F82&lt;D82-100, "Pago Parcial", "Al Día")))))</f>
        <v/>
      </c>
    </row>
    <row r="83" ht="20" customHeight="1">
      <c r="A83" s="20" t="n">
        <v>70</v>
      </c>
      <c r="B83" s="21">
        <f>IF(A83&lt;=$C$9, EDATE($C$10, A83), "")</f>
        <v/>
      </c>
      <c r="C83" s="22">
        <f>IF(A83&lt;=$C$9, H82, 0)</f>
        <v/>
      </c>
      <c r="D83" s="22">
        <f>IF(AND(A83&lt;=$C$9, C83&gt;0), $H$5, 0)</f>
        <v/>
      </c>
      <c r="E83" s="22">
        <f>IF(AND(A83&lt;=$C$9, C83&gt;0), C83*$C$8, 0)</f>
        <v/>
      </c>
      <c r="F83" s="18">
        <f>IF(AND(A83&lt;=$C$9, C83&gt;0), D83, 0)</f>
        <v/>
      </c>
      <c r="G83" s="22">
        <f>IF(AND(A83&lt;=$C$9, C83&gt;0), MIN(C83, MAX(0, F83-E83)), 0)</f>
        <v/>
      </c>
      <c r="H83" s="23">
        <f>IF(AND(A83&lt;=$C$9, C83&gt;0), MAX(0, C83-G83), 0)</f>
        <v/>
      </c>
      <c r="I83" s="20">
        <f>IF(A83&gt;$C$9, "", IF(C83=0, "Finalizado", IF(F83=0, "Sin Pago", IF(F83&gt;D83+100, "Abono Extra", IF(F83&lt;D83-100, "Pago Parcial", "Al Día")))))</f>
        <v/>
      </c>
    </row>
    <row r="84" ht="20" customHeight="1">
      <c r="A84" s="15" t="n">
        <v>71</v>
      </c>
      <c r="B84" s="16">
        <f>IF(A84&lt;=$C$9, EDATE($C$10, A84), "")</f>
        <v/>
      </c>
      <c r="C84" s="17">
        <f>IF(A84&lt;=$C$9, H83, 0)</f>
        <v/>
      </c>
      <c r="D84" s="17">
        <f>IF(AND(A84&lt;=$C$9, C84&gt;0), $H$5, 0)</f>
        <v/>
      </c>
      <c r="E84" s="17">
        <f>IF(AND(A84&lt;=$C$9, C84&gt;0), C84*$C$8, 0)</f>
        <v/>
      </c>
      <c r="F84" s="18">
        <f>IF(AND(A84&lt;=$C$9, C84&gt;0), D84, 0)</f>
        <v/>
      </c>
      <c r="G84" s="17">
        <f>IF(AND(A84&lt;=$C$9, C84&gt;0), MIN(C84, MAX(0, F84-E84)), 0)</f>
        <v/>
      </c>
      <c r="H84" s="19">
        <f>IF(AND(A84&lt;=$C$9, C84&gt;0), MAX(0, C84-G84), 0)</f>
        <v/>
      </c>
      <c r="I84" s="15">
        <f>IF(A84&gt;$C$9, "", IF(C84=0, "Finalizado", IF(F84=0, "Sin Pago", IF(F84&gt;D84+100, "Abono Extra", IF(F84&lt;D84-100, "Pago Parcial", "Al Día")))))</f>
        <v/>
      </c>
    </row>
    <row r="85" ht="20" customHeight="1">
      <c r="A85" s="20" t="n">
        <v>72</v>
      </c>
      <c r="B85" s="21">
        <f>IF(A85&lt;=$C$9, EDATE($C$10, A85), "")</f>
        <v/>
      </c>
      <c r="C85" s="22">
        <f>IF(A85&lt;=$C$9, H84, 0)</f>
        <v/>
      </c>
      <c r="D85" s="22">
        <f>IF(AND(A85&lt;=$C$9, C85&gt;0), $H$5, 0)</f>
        <v/>
      </c>
      <c r="E85" s="22">
        <f>IF(AND(A85&lt;=$C$9, C85&gt;0), C85*$C$8, 0)</f>
        <v/>
      </c>
      <c r="F85" s="18">
        <f>IF(AND(A85&lt;=$C$9, C85&gt;0), D85, 0)</f>
        <v/>
      </c>
      <c r="G85" s="22">
        <f>IF(AND(A85&lt;=$C$9, C85&gt;0), MIN(C85, MAX(0, F85-E85)), 0)</f>
        <v/>
      </c>
      <c r="H85" s="23">
        <f>IF(AND(A85&lt;=$C$9, C85&gt;0), MAX(0, C85-G85), 0)</f>
        <v/>
      </c>
      <c r="I85" s="20">
        <f>IF(A85&gt;$C$9, "", IF(C85=0, "Finalizado", IF(F85=0, "Sin Pago", IF(F85&gt;D85+100, "Abono Extra", IF(F85&lt;D85-100, "Pago Parcial", "Al Día")))))</f>
        <v/>
      </c>
    </row>
    <row r="86" ht="20" customHeight="1">
      <c r="A86" s="15" t="n">
        <v>73</v>
      </c>
      <c r="B86" s="16">
        <f>IF(A86&lt;=$C$9, EDATE($C$10, A86), "")</f>
        <v/>
      </c>
      <c r="C86" s="17">
        <f>IF(A86&lt;=$C$9, H85, 0)</f>
        <v/>
      </c>
      <c r="D86" s="17">
        <f>IF(AND(A86&lt;=$C$9, C86&gt;0), $H$5, 0)</f>
        <v/>
      </c>
      <c r="E86" s="17">
        <f>IF(AND(A86&lt;=$C$9, C86&gt;0), C86*$C$8, 0)</f>
        <v/>
      </c>
      <c r="F86" s="18">
        <f>IF(AND(A86&lt;=$C$9, C86&gt;0), D86, 0)</f>
        <v/>
      </c>
      <c r="G86" s="17">
        <f>IF(AND(A86&lt;=$C$9, C86&gt;0), MIN(C86, MAX(0, F86-E86)), 0)</f>
        <v/>
      </c>
      <c r="H86" s="19">
        <f>IF(AND(A86&lt;=$C$9, C86&gt;0), MAX(0, C86-G86), 0)</f>
        <v/>
      </c>
      <c r="I86" s="15">
        <f>IF(A86&gt;$C$9, "", IF(C86=0, "Finalizado", IF(F86=0, "Sin Pago", IF(F86&gt;D86+100, "Abono Extra", IF(F86&lt;D86-100, "Pago Parcial", "Al Día")))))</f>
        <v/>
      </c>
    </row>
    <row r="87" ht="20" customHeight="1">
      <c r="A87" s="20" t="n">
        <v>74</v>
      </c>
      <c r="B87" s="21">
        <f>IF(A87&lt;=$C$9, EDATE($C$10, A87), "")</f>
        <v/>
      </c>
      <c r="C87" s="22">
        <f>IF(A87&lt;=$C$9, H86, 0)</f>
        <v/>
      </c>
      <c r="D87" s="22">
        <f>IF(AND(A87&lt;=$C$9, C87&gt;0), $H$5, 0)</f>
        <v/>
      </c>
      <c r="E87" s="22">
        <f>IF(AND(A87&lt;=$C$9, C87&gt;0), C87*$C$8, 0)</f>
        <v/>
      </c>
      <c r="F87" s="18">
        <f>IF(AND(A87&lt;=$C$9, C87&gt;0), D87, 0)</f>
        <v/>
      </c>
      <c r="G87" s="22">
        <f>IF(AND(A87&lt;=$C$9, C87&gt;0), MIN(C87, MAX(0, F87-E87)), 0)</f>
        <v/>
      </c>
      <c r="H87" s="23">
        <f>IF(AND(A87&lt;=$C$9, C87&gt;0), MAX(0, C87-G87), 0)</f>
        <v/>
      </c>
      <c r="I87" s="20">
        <f>IF(A87&gt;$C$9, "", IF(C87=0, "Finalizado", IF(F87=0, "Sin Pago", IF(F87&gt;D87+100, "Abono Extra", IF(F87&lt;D87-100, "Pago Parcial", "Al Día")))))</f>
        <v/>
      </c>
    </row>
    <row r="88" ht="20" customHeight="1">
      <c r="A88" s="15" t="n">
        <v>75</v>
      </c>
      <c r="B88" s="16">
        <f>IF(A88&lt;=$C$9, EDATE($C$10, A88), "")</f>
        <v/>
      </c>
      <c r="C88" s="17">
        <f>IF(A88&lt;=$C$9, H87, 0)</f>
        <v/>
      </c>
      <c r="D88" s="17">
        <f>IF(AND(A88&lt;=$C$9, C88&gt;0), $H$5, 0)</f>
        <v/>
      </c>
      <c r="E88" s="17">
        <f>IF(AND(A88&lt;=$C$9, C88&gt;0), C88*$C$8, 0)</f>
        <v/>
      </c>
      <c r="F88" s="18">
        <f>IF(AND(A88&lt;=$C$9, C88&gt;0), D88, 0)</f>
        <v/>
      </c>
      <c r="G88" s="17">
        <f>IF(AND(A88&lt;=$C$9, C88&gt;0), MIN(C88, MAX(0, F88-E88)), 0)</f>
        <v/>
      </c>
      <c r="H88" s="19">
        <f>IF(AND(A88&lt;=$C$9, C88&gt;0), MAX(0, C88-G88), 0)</f>
        <v/>
      </c>
      <c r="I88" s="15">
        <f>IF(A88&gt;$C$9, "", IF(C88=0, "Finalizado", IF(F88=0, "Sin Pago", IF(F88&gt;D88+100, "Abono Extra", IF(F88&lt;D88-100, "Pago Parcial", "Al Día")))))</f>
        <v/>
      </c>
    </row>
    <row r="89" ht="20" customHeight="1">
      <c r="A89" s="20" t="n">
        <v>76</v>
      </c>
      <c r="B89" s="21">
        <f>IF(A89&lt;=$C$9, EDATE($C$10, A89), "")</f>
        <v/>
      </c>
      <c r="C89" s="22">
        <f>IF(A89&lt;=$C$9, H88, 0)</f>
        <v/>
      </c>
      <c r="D89" s="22">
        <f>IF(AND(A89&lt;=$C$9, C89&gt;0), $H$5, 0)</f>
        <v/>
      </c>
      <c r="E89" s="22">
        <f>IF(AND(A89&lt;=$C$9, C89&gt;0), C89*$C$8, 0)</f>
        <v/>
      </c>
      <c r="F89" s="18">
        <f>IF(AND(A89&lt;=$C$9, C89&gt;0), D89, 0)</f>
        <v/>
      </c>
      <c r="G89" s="22">
        <f>IF(AND(A89&lt;=$C$9, C89&gt;0), MIN(C89, MAX(0, F89-E89)), 0)</f>
        <v/>
      </c>
      <c r="H89" s="23">
        <f>IF(AND(A89&lt;=$C$9, C89&gt;0), MAX(0, C89-G89), 0)</f>
        <v/>
      </c>
      <c r="I89" s="20">
        <f>IF(A89&gt;$C$9, "", IF(C89=0, "Finalizado", IF(F89=0, "Sin Pago", IF(F89&gt;D89+100, "Abono Extra", IF(F89&lt;D89-100, "Pago Parcial", "Al Día")))))</f>
        <v/>
      </c>
    </row>
    <row r="90" ht="20" customHeight="1">
      <c r="A90" s="15" t="n">
        <v>77</v>
      </c>
      <c r="B90" s="16">
        <f>IF(A90&lt;=$C$9, EDATE($C$10, A90), "")</f>
        <v/>
      </c>
      <c r="C90" s="17">
        <f>IF(A90&lt;=$C$9, H89, 0)</f>
        <v/>
      </c>
      <c r="D90" s="17">
        <f>IF(AND(A90&lt;=$C$9, C90&gt;0), $H$5, 0)</f>
        <v/>
      </c>
      <c r="E90" s="17">
        <f>IF(AND(A90&lt;=$C$9, C90&gt;0), C90*$C$8, 0)</f>
        <v/>
      </c>
      <c r="F90" s="18">
        <f>IF(AND(A90&lt;=$C$9, C90&gt;0), D90, 0)</f>
        <v/>
      </c>
      <c r="G90" s="17">
        <f>IF(AND(A90&lt;=$C$9, C90&gt;0), MIN(C90, MAX(0, F90-E90)), 0)</f>
        <v/>
      </c>
      <c r="H90" s="19">
        <f>IF(AND(A90&lt;=$C$9, C90&gt;0), MAX(0, C90-G90), 0)</f>
        <v/>
      </c>
      <c r="I90" s="15">
        <f>IF(A90&gt;$C$9, "", IF(C90=0, "Finalizado", IF(F90=0, "Sin Pago", IF(F90&gt;D90+100, "Abono Extra", IF(F90&lt;D90-100, "Pago Parcial", "Al Día")))))</f>
        <v/>
      </c>
    </row>
    <row r="91" ht="20" customHeight="1">
      <c r="A91" s="20" t="n">
        <v>78</v>
      </c>
      <c r="B91" s="21">
        <f>IF(A91&lt;=$C$9, EDATE($C$10, A91), "")</f>
        <v/>
      </c>
      <c r="C91" s="22">
        <f>IF(A91&lt;=$C$9, H90, 0)</f>
        <v/>
      </c>
      <c r="D91" s="22">
        <f>IF(AND(A91&lt;=$C$9, C91&gt;0), $H$5, 0)</f>
        <v/>
      </c>
      <c r="E91" s="22">
        <f>IF(AND(A91&lt;=$C$9, C91&gt;0), C91*$C$8, 0)</f>
        <v/>
      </c>
      <c r="F91" s="18">
        <f>IF(AND(A91&lt;=$C$9, C91&gt;0), D91, 0)</f>
        <v/>
      </c>
      <c r="G91" s="22">
        <f>IF(AND(A91&lt;=$C$9, C91&gt;0), MIN(C91, MAX(0, F91-E91)), 0)</f>
        <v/>
      </c>
      <c r="H91" s="23">
        <f>IF(AND(A91&lt;=$C$9, C91&gt;0), MAX(0, C91-G91), 0)</f>
        <v/>
      </c>
      <c r="I91" s="20">
        <f>IF(A91&gt;$C$9, "", IF(C91=0, "Finalizado", IF(F91=0, "Sin Pago", IF(F91&gt;D91+100, "Abono Extra", IF(F91&lt;D91-100, "Pago Parcial", "Al Día")))))</f>
        <v/>
      </c>
    </row>
    <row r="92" ht="20" customHeight="1">
      <c r="A92" s="15" t="n">
        <v>79</v>
      </c>
      <c r="B92" s="16">
        <f>IF(A92&lt;=$C$9, EDATE($C$10, A92), "")</f>
        <v/>
      </c>
      <c r="C92" s="17">
        <f>IF(A92&lt;=$C$9, H91, 0)</f>
        <v/>
      </c>
      <c r="D92" s="17">
        <f>IF(AND(A92&lt;=$C$9, C92&gt;0), $H$5, 0)</f>
        <v/>
      </c>
      <c r="E92" s="17">
        <f>IF(AND(A92&lt;=$C$9, C92&gt;0), C92*$C$8, 0)</f>
        <v/>
      </c>
      <c r="F92" s="18">
        <f>IF(AND(A92&lt;=$C$9, C92&gt;0), D92, 0)</f>
        <v/>
      </c>
      <c r="G92" s="17">
        <f>IF(AND(A92&lt;=$C$9, C92&gt;0), MIN(C92, MAX(0, F92-E92)), 0)</f>
        <v/>
      </c>
      <c r="H92" s="19">
        <f>IF(AND(A92&lt;=$C$9, C92&gt;0), MAX(0, C92-G92), 0)</f>
        <v/>
      </c>
      <c r="I92" s="15">
        <f>IF(A92&gt;$C$9, "", IF(C92=0, "Finalizado", IF(F92=0, "Sin Pago", IF(F92&gt;D92+100, "Abono Extra", IF(F92&lt;D92-100, "Pago Parcial", "Al Día")))))</f>
        <v/>
      </c>
    </row>
    <row r="93" ht="20" customHeight="1">
      <c r="A93" s="20" t="n">
        <v>80</v>
      </c>
      <c r="B93" s="21">
        <f>IF(A93&lt;=$C$9, EDATE($C$10, A93), "")</f>
        <v/>
      </c>
      <c r="C93" s="22">
        <f>IF(A93&lt;=$C$9, H92, 0)</f>
        <v/>
      </c>
      <c r="D93" s="22">
        <f>IF(AND(A93&lt;=$C$9, C93&gt;0), $H$5, 0)</f>
        <v/>
      </c>
      <c r="E93" s="22">
        <f>IF(AND(A93&lt;=$C$9, C93&gt;0), C93*$C$8, 0)</f>
        <v/>
      </c>
      <c r="F93" s="18">
        <f>IF(AND(A93&lt;=$C$9, C93&gt;0), D93, 0)</f>
        <v/>
      </c>
      <c r="G93" s="22">
        <f>IF(AND(A93&lt;=$C$9, C93&gt;0), MIN(C93, MAX(0, F93-E93)), 0)</f>
        <v/>
      </c>
      <c r="H93" s="23">
        <f>IF(AND(A93&lt;=$C$9, C93&gt;0), MAX(0, C93-G93), 0)</f>
        <v/>
      </c>
      <c r="I93" s="20">
        <f>IF(A93&gt;$C$9, "", IF(C93=0, "Finalizado", IF(F93=0, "Sin Pago", IF(F93&gt;D93+100, "Abono Extra", IF(F93&lt;D93-100, "Pago Parcial", "Al Día")))))</f>
        <v/>
      </c>
    </row>
    <row r="94" ht="20" customHeight="1">
      <c r="A94" s="15" t="n">
        <v>81</v>
      </c>
      <c r="B94" s="16">
        <f>IF(A94&lt;=$C$9, EDATE($C$10, A94), "")</f>
        <v/>
      </c>
      <c r="C94" s="17">
        <f>IF(A94&lt;=$C$9, H93, 0)</f>
        <v/>
      </c>
      <c r="D94" s="17">
        <f>IF(AND(A94&lt;=$C$9, C94&gt;0), $H$5, 0)</f>
        <v/>
      </c>
      <c r="E94" s="17">
        <f>IF(AND(A94&lt;=$C$9, C94&gt;0), C94*$C$8, 0)</f>
        <v/>
      </c>
      <c r="F94" s="18">
        <f>IF(AND(A94&lt;=$C$9, C94&gt;0), D94, 0)</f>
        <v/>
      </c>
      <c r="G94" s="17">
        <f>IF(AND(A94&lt;=$C$9, C94&gt;0), MIN(C94, MAX(0, F94-E94)), 0)</f>
        <v/>
      </c>
      <c r="H94" s="19">
        <f>IF(AND(A94&lt;=$C$9, C94&gt;0), MAX(0, C94-G94), 0)</f>
        <v/>
      </c>
      <c r="I94" s="15">
        <f>IF(A94&gt;$C$9, "", IF(C94=0, "Finalizado", IF(F94=0, "Sin Pago", IF(F94&gt;D94+100, "Abono Extra", IF(F94&lt;D94-100, "Pago Parcial", "Al Día")))))</f>
        <v/>
      </c>
    </row>
    <row r="95" ht="20" customHeight="1">
      <c r="A95" s="20" t="n">
        <v>82</v>
      </c>
      <c r="B95" s="21">
        <f>IF(A95&lt;=$C$9, EDATE($C$10, A95), "")</f>
        <v/>
      </c>
      <c r="C95" s="22">
        <f>IF(A95&lt;=$C$9, H94, 0)</f>
        <v/>
      </c>
      <c r="D95" s="22">
        <f>IF(AND(A95&lt;=$C$9, C95&gt;0), $H$5, 0)</f>
        <v/>
      </c>
      <c r="E95" s="22">
        <f>IF(AND(A95&lt;=$C$9, C95&gt;0), C95*$C$8, 0)</f>
        <v/>
      </c>
      <c r="F95" s="18">
        <f>IF(AND(A95&lt;=$C$9, C95&gt;0), D95, 0)</f>
        <v/>
      </c>
      <c r="G95" s="22">
        <f>IF(AND(A95&lt;=$C$9, C95&gt;0), MIN(C95, MAX(0, F95-E95)), 0)</f>
        <v/>
      </c>
      <c r="H95" s="23">
        <f>IF(AND(A95&lt;=$C$9, C95&gt;0), MAX(0, C95-G95), 0)</f>
        <v/>
      </c>
      <c r="I95" s="20">
        <f>IF(A95&gt;$C$9, "", IF(C95=0, "Finalizado", IF(F95=0, "Sin Pago", IF(F95&gt;D95+100, "Abono Extra", IF(F95&lt;D95-100, "Pago Parcial", "Al Día")))))</f>
        <v/>
      </c>
    </row>
    <row r="96" ht="20" customHeight="1">
      <c r="A96" s="15" t="n">
        <v>83</v>
      </c>
      <c r="B96" s="16">
        <f>IF(A96&lt;=$C$9, EDATE($C$10, A96), "")</f>
        <v/>
      </c>
      <c r="C96" s="17">
        <f>IF(A96&lt;=$C$9, H95, 0)</f>
        <v/>
      </c>
      <c r="D96" s="17">
        <f>IF(AND(A96&lt;=$C$9, C96&gt;0), $H$5, 0)</f>
        <v/>
      </c>
      <c r="E96" s="17">
        <f>IF(AND(A96&lt;=$C$9, C96&gt;0), C96*$C$8, 0)</f>
        <v/>
      </c>
      <c r="F96" s="18">
        <f>IF(AND(A96&lt;=$C$9, C96&gt;0), D96, 0)</f>
        <v/>
      </c>
      <c r="G96" s="17">
        <f>IF(AND(A96&lt;=$C$9, C96&gt;0), MIN(C96, MAX(0, F96-E96)), 0)</f>
        <v/>
      </c>
      <c r="H96" s="19">
        <f>IF(AND(A96&lt;=$C$9, C96&gt;0), MAX(0, C96-G96), 0)</f>
        <v/>
      </c>
      <c r="I96" s="15">
        <f>IF(A96&gt;$C$9, "", IF(C96=0, "Finalizado", IF(F96=0, "Sin Pago", IF(F96&gt;D96+100, "Abono Extra", IF(F96&lt;D96-100, "Pago Parcial", "Al Día")))))</f>
        <v/>
      </c>
    </row>
    <row r="97" ht="20" customHeight="1">
      <c r="A97" s="20" t="n">
        <v>84</v>
      </c>
      <c r="B97" s="21">
        <f>IF(A97&lt;=$C$9, EDATE($C$10, A97), "")</f>
        <v/>
      </c>
      <c r="C97" s="22">
        <f>IF(A97&lt;=$C$9, H96, 0)</f>
        <v/>
      </c>
      <c r="D97" s="22">
        <f>IF(AND(A97&lt;=$C$9, C97&gt;0), $H$5, 0)</f>
        <v/>
      </c>
      <c r="E97" s="22">
        <f>IF(AND(A97&lt;=$C$9, C97&gt;0), C97*$C$8, 0)</f>
        <v/>
      </c>
      <c r="F97" s="18">
        <f>IF(AND(A97&lt;=$C$9, C97&gt;0), D97, 0)</f>
        <v/>
      </c>
      <c r="G97" s="22">
        <f>IF(AND(A97&lt;=$C$9, C97&gt;0), MIN(C97, MAX(0, F97-E97)), 0)</f>
        <v/>
      </c>
      <c r="H97" s="23">
        <f>IF(AND(A97&lt;=$C$9, C97&gt;0), MAX(0, C97-G97), 0)</f>
        <v/>
      </c>
      <c r="I97" s="20">
        <f>IF(A97&gt;$C$9, "", IF(C97=0, "Finalizado", IF(F97=0, "Sin Pago", IF(F97&gt;D97+100, "Abono Extra", IF(F97&lt;D97-100, "Pago Parcial", "Al Día")))))</f>
        <v/>
      </c>
    </row>
    <row r="98" ht="20" customHeight="1">
      <c r="A98" s="15" t="n">
        <v>85</v>
      </c>
      <c r="B98" s="16">
        <f>IF(A98&lt;=$C$9, EDATE($C$10, A98), "")</f>
        <v/>
      </c>
      <c r="C98" s="17">
        <f>IF(A98&lt;=$C$9, H97, 0)</f>
        <v/>
      </c>
      <c r="D98" s="17">
        <f>IF(AND(A98&lt;=$C$9, C98&gt;0), $H$5, 0)</f>
        <v/>
      </c>
      <c r="E98" s="17">
        <f>IF(AND(A98&lt;=$C$9, C98&gt;0), C98*$C$8, 0)</f>
        <v/>
      </c>
      <c r="F98" s="18">
        <f>IF(AND(A98&lt;=$C$9, C98&gt;0), D98, 0)</f>
        <v/>
      </c>
      <c r="G98" s="17">
        <f>IF(AND(A98&lt;=$C$9, C98&gt;0), MIN(C98, MAX(0, F98-E98)), 0)</f>
        <v/>
      </c>
      <c r="H98" s="19">
        <f>IF(AND(A98&lt;=$C$9, C98&gt;0), MAX(0, C98-G98), 0)</f>
        <v/>
      </c>
      <c r="I98" s="15">
        <f>IF(A98&gt;$C$9, "", IF(C98=0, "Finalizado", IF(F98=0, "Sin Pago", IF(F98&gt;D98+100, "Abono Extra", IF(F98&lt;D98-100, "Pago Parcial", "Al Día")))))</f>
        <v/>
      </c>
    </row>
    <row r="99" ht="20" customHeight="1">
      <c r="A99" s="20" t="n">
        <v>86</v>
      </c>
      <c r="B99" s="21">
        <f>IF(A99&lt;=$C$9, EDATE($C$10, A99), "")</f>
        <v/>
      </c>
      <c r="C99" s="22">
        <f>IF(A99&lt;=$C$9, H98, 0)</f>
        <v/>
      </c>
      <c r="D99" s="22">
        <f>IF(AND(A99&lt;=$C$9, C99&gt;0), $H$5, 0)</f>
        <v/>
      </c>
      <c r="E99" s="22">
        <f>IF(AND(A99&lt;=$C$9, C99&gt;0), C99*$C$8, 0)</f>
        <v/>
      </c>
      <c r="F99" s="18">
        <f>IF(AND(A99&lt;=$C$9, C99&gt;0), D99, 0)</f>
        <v/>
      </c>
      <c r="G99" s="22">
        <f>IF(AND(A99&lt;=$C$9, C99&gt;0), MIN(C99, MAX(0, F99-E99)), 0)</f>
        <v/>
      </c>
      <c r="H99" s="23">
        <f>IF(AND(A99&lt;=$C$9, C99&gt;0), MAX(0, C99-G99), 0)</f>
        <v/>
      </c>
      <c r="I99" s="20">
        <f>IF(A99&gt;$C$9, "", IF(C99=0, "Finalizado", IF(F99=0, "Sin Pago", IF(F99&gt;D99+100, "Abono Extra", IF(F99&lt;D99-100, "Pago Parcial", "Al Día")))))</f>
        <v/>
      </c>
    </row>
    <row r="100" ht="20" customHeight="1">
      <c r="A100" s="15" t="n">
        <v>87</v>
      </c>
      <c r="B100" s="16">
        <f>IF(A100&lt;=$C$9, EDATE($C$10, A100), "")</f>
        <v/>
      </c>
      <c r="C100" s="17">
        <f>IF(A100&lt;=$C$9, H99, 0)</f>
        <v/>
      </c>
      <c r="D100" s="17">
        <f>IF(AND(A100&lt;=$C$9, C100&gt;0), $H$5, 0)</f>
        <v/>
      </c>
      <c r="E100" s="17">
        <f>IF(AND(A100&lt;=$C$9, C100&gt;0), C100*$C$8, 0)</f>
        <v/>
      </c>
      <c r="F100" s="18">
        <f>IF(AND(A100&lt;=$C$9, C100&gt;0), D100, 0)</f>
        <v/>
      </c>
      <c r="G100" s="17">
        <f>IF(AND(A100&lt;=$C$9, C100&gt;0), MIN(C100, MAX(0, F100-E100)), 0)</f>
        <v/>
      </c>
      <c r="H100" s="19">
        <f>IF(AND(A100&lt;=$C$9, C100&gt;0), MAX(0, C100-G100), 0)</f>
        <v/>
      </c>
      <c r="I100" s="15">
        <f>IF(A100&gt;$C$9, "", IF(C100=0, "Finalizado", IF(F100=0, "Sin Pago", IF(F100&gt;D100+100, "Abono Extra", IF(F100&lt;D100-100, "Pago Parcial", "Al Día")))))</f>
        <v/>
      </c>
    </row>
    <row r="101" ht="20" customHeight="1">
      <c r="A101" s="20" t="n">
        <v>88</v>
      </c>
      <c r="B101" s="21">
        <f>IF(A101&lt;=$C$9, EDATE($C$10, A101), "")</f>
        <v/>
      </c>
      <c r="C101" s="22">
        <f>IF(A101&lt;=$C$9, H100, 0)</f>
        <v/>
      </c>
      <c r="D101" s="22">
        <f>IF(AND(A101&lt;=$C$9, C101&gt;0), $H$5, 0)</f>
        <v/>
      </c>
      <c r="E101" s="22">
        <f>IF(AND(A101&lt;=$C$9, C101&gt;0), C101*$C$8, 0)</f>
        <v/>
      </c>
      <c r="F101" s="18">
        <f>IF(AND(A101&lt;=$C$9, C101&gt;0), D101, 0)</f>
        <v/>
      </c>
      <c r="G101" s="22">
        <f>IF(AND(A101&lt;=$C$9, C101&gt;0), MIN(C101, MAX(0, F101-E101)), 0)</f>
        <v/>
      </c>
      <c r="H101" s="23">
        <f>IF(AND(A101&lt;=$C$9, C101&gt;0), MAX(0, C101-G101), 0)</f>
        <v/>
      </c>
      <c r="I101" s="20">
        <f>IF(A101&gt;$C$9, "", IF(C101=0, "Finalizado", IF(F101=0, "Sin Pago", IF(F101&gt;D101+100, "Abono Extra", IF(F101&lt;D101-100, "Pago Parcial", "Al Día")))))</f>
        <v/>
      </c>
    </row>
    <row r="102" ht="20" customHeight="1">
      <c r="A102" s="15" t="n">
        <v>89</v>
      </c>
      <c r="B102" s="16">
        <f>IF(A102&lt;=$C$9, EDATE($C$10, A102), "")</f>
        <v/>
      </c>
      <c r="C102" s="17">
        <f>IF(A102&lt;=$C$9, H101, 0)</f>
        <v/>
      </c>
      <c r="D102" s="17">
        <f>IF(AND(A102&lt;=$C$9, C102&gt;0), $H$5, 0)</f>
        <v/>
      </c>
      <c r="E102" s="17">
        <f>IF(AND(A102&lt;=$C$9, C102&gt;0), C102*$C$8, 0)</f>
        <v/>
      </c>
      <c r="F102" s="18">
        <f>IF(AND(A102&lt;=$C$9, C102&gt;0), D102, 0)</f>
        <v/>
      </c>
      <c r="G102" s="17">
        <f>IF(AND(A102&lt;=$C$9, C102&gt;0), MIN(C102, MAX(0, F102-E102)), 0)</f>
        <v/>
      </c>
      <c r="H102" s="19">
        <f>IF(AND(A102&lt;=$C$9, C102&gt;0), MAX(0, C102-G102), 0)</f>
        <v/>
      </c>
      <c r="I102" s="15">
        <f>IF(A102&gt;$C$9, "", IF(C102=0, "Finalizado", IF(F102=0, "Sin Pago", IF(F102&gt;D102+100, "Abono Extra", IF(F102&lt;D102-100, "Pago Parcial", "Al Día")))))</f>
        <v/>
      </c>
    </row>
    <row r="103" ht="20" customHeight="1">
      <c r="A103" s="20" t="n">
        <v>90</v>
      </c>
      <c r="B103" s="21">
        <f>IF(A103&lt;=$C$9, EDATE($C$10, A103), "")</f>
        <v/>
      </c>
      <c r="C103" s="22">
        <f>IF(A103&lt;=$C$9, H102, 0)</f>
        <v/>
      </c>
      <c r="D103" s="22">
        <f>IF(AND(A103&lt;=$C$9, C103&gt;0), $H$5, 0)</f>
        <v/>
      </c>
      <c r="E103" s="22">
        <f>IF(AND(A103&lt;=$C$9, C103&gt;0), C103*$C$8, 0)</f>
        <v/>
      </c>
      <c r="F103" s="18">
        <f>IF(AND(A103&lt;=$C$9, C103&gt;0), D103, 0)</f>
        <v/>
      </c>
      <c r="G103" s="22">
        <f>IF(AND(A103&lt;=$C$9, C103&gt;0), MIN(C103, MAX(0, F103-E103)), 0)</f>
        <v/>
      </c>
      <c r="H103" s="23">
        <f>IF(AND(A103&lt;=$C$9, C103&gt;0), MAX(0, C103-G103), 0)</f>
        <v/>
      </c>
      <c r="I103" s="20">
        <f>IF(A103&gt;$C$9, "", IF(C103=0, "Finalizado", IF(F103=0, "Sin Pago", IF(F103&gt;D103+100, "Abono Extra", IF(F103&lt;D103-100, "Pago Parcial", "Al Día")))))</f>
        <v/>
      </c>
    </row>
    <row r="104" ht="20" customHeight="1">
      <c r="A104" s="15" t="n">
        <v>91</v>
      </c>
      <c r="B104" s="16">
        <f>IF(A104&lt;=$C$9, EDATE($C$10, A104), "")</f>
        <v/>
      </c>
      <c r="C104" s="17">
        <f>IF(A104&lt;=$C$9, H103, 0)</f>
        <v/>
      </c>
      <c r="D104" s="17">
        <f>IF(AND(A104&lt;=$C$9, C104&gt;0), $H$5, 0)</f>
        <v/>
      </c>
      <c r="E104" s="17">
        <f>IF(AND(A104&lt;=$C$9, C104&gt;0), C104*$C$8, 0)</f>
        <v/>
      </c>
      <c r="F104" s="18">
        <f>IF(AND(A104&lt;=$C$9, C104&gt;0), D104, 0)</f>
        <v/>
      </c>
      <c r="G104" s="17">
        <f>IF(AND(A104&lt;=$C$9, C104&gt;0), MIN(C104, MAX(0, F104-E104)), 0)</f>
        <v/>
      </c>
      <c r="H104" s="19">
        <f>IF(AND(A104&lt;=$C$9, C104&gt;0), MAX(0, C104-G104), 0)</f>
        <v/>
      </c>
      <c r="I104" s="15">
        <f>IF(A104&gt;$C$9, "", IF(C104=0, "Finalizado", IF(F104=0, "Sin Pago", IF(F104&gt;D104+100, "Abono Extra", IF(F104&lt;D104-100, "Pago Parcial", "Al Día")))))</f>
        <v/>
      </c>
    </row>
    <row r="105" ht="20" customHeight="1">
      <c r="A105" s="20" t="n">
        <v>92</v>
      </c>
      <c r="B105" s="21">
        <f>IF(A105&lt;=$C$9, EDATE($C$10, A105), "")</f>
        <v/>
      </c>
      <c r="C105" s="22">
        <f>IF(A105&lt;=$C$9, H104, 0)</f>
        <v/>
      </c>
      <c r="D105" s="22">
        <f>IF(AND(A105&lt;=$C$9, C105&gt;0), $H$5, 0)</f>
        <v/>
      </c>
      <c r="E105" s="22">
        <f>IF(AND(A105&lt;=$C$9, C105&gt;0), C105*$C$8, 0)</f>
        <v/>
      </c>
      <c r="F105" s="18">
        <f>IF(AND(A105&lt;=$C$9, C105&gt;0), D105, 0)</f>
        <v/>
      </c>
      <c r="G105" s="22">
        <f>IF(AND(A105&lt;=$C$9, C105&gt;0), MIN(C105, MAX(0, F105-E105)), 0)</f>
        <v/>
      </c>
      <c r="H105" s="23">
        <f>IF(AND(A105&lt;=$C$9, C105&gt;0), MAX(0, C105-G105), 0)</f>
        <v/>
      </c>
      <c r="I105" s="20">
        <f>IF(A105&gt;$C$9, "", IF(C105=0, "Finalizado", IF(F105=0, "Sin Pago", IF(F105&gt;D105+100, "Abono Extra", IF(F105&lt;D105-100, "Pago Parcial", "Al Día")))))</f>
        <v/>
      </c>
    </row>
    <row r="106" ht="20" customHeight="1">
      <c r="A106" s="15" t="n">
        <v>93</v>
      </c>
      <c r="B106" s="16">
        <f>IF(A106&lt;=$C$9, EDATE($C$10, A106), "")</f>
        <v/>
      </c>
      <c r="C106" s="17">
        <f>IF(A106&lt;=$C$9, H105, 0)</f>
        <v/>
      </c>
      <c r="D106" s="17">
        <f>IF(AND(A106&lt;=$C$9, C106&gt;0), $H$5, 0)</f>
        <v/>
      </c>
      <c r="E106" s="17">
        <f>IF(AND(A106&lt;=$C$9, C106&gt;0), C106*$C$8, 0)</f>
        <v/>
      </c>
      <c r="F106" s="18">
        <f>IF(AND(A106&lt;=$C$9, C106&gt;0), D106, 0)</f>
        <v/>
      </c>
      <c r="G106" s="17">
        <f>IF(AND(A106&lt;=$C$9, C106&gt;0), MIN(C106, MAX(0, F106-E106)), 0)</f>
        <v/>
      </c>
      <c r="H106" s="19">
        <f>IF(AND(A106&lt;=$C$9, C106&gt;0), MAX(0, C106-G106), 0)</f>
        <v/>
      </c>
      <c r="I106" s="15">
        <f>IF(A106&gt;$C$9, "", IF(C106=0, "Finalizado", IF(F106=0, "Sin Pago", IF(F106&gt;D106+100, "Abono Extra", IF(F106&lt;D106-100, "Pago Parcial", "Al Día")))))</f>
        <v/>
      </c>
    </row>
    <row r="107" ht="20" customHeight="1">
      <c r="A107" s="20" t="n">
        <v>94</v>
      </c>
      <c r="B107" s="21">
        <f>IF(A107&lt;=$C$9, EDATE($C$10, A107), "")</f>
        <v/>
      </c>
      <c r="C107" s="22">
        <f>IF(A107&lt;=$C$9, H106, 0)</f>
        <v/>
      </c>
      <c r="D107" s="22">
        <f>IF(AND(A107&lt;=$C$9, C107&gt;0), $H$5, 0)</f>
        <v/>
      </c>
      <c r="E107" s="22">
        <f>IF(AND(A107&lt;=$C$9, C107&gt;0), C107*$C$8, 0)</f>
        <v/>
      </c>
      <c r="F107" s="18">
        <f>IF(AND(A107&lt;=$C$9, C107&gt;0), D107, 0)</f>
        <v/>
      </c>
      <c r="G107" s="22">
        <f>IF(AND(A107&lt;=$C$9, C107&gt;0), MIN(C107, MAX(0, F107-E107)), 0)</f>
        <v/>
      </c>
      <c r="H107" s="23">
        <f>IF(AND(A107&lt;=$C$9, C107&gt;0), MAX(0, C107-G107), 0)</f>
        <v/>
      </c>
      <c r="I107" s="20">
        <f>IF(A107&gt;$C$9, "", IF(C107=0, "Finalizado", IF(F107=0, "Sin Pago", IF(F107&gt;D107+100, "Abono Extra", IF(F107&lt;D107-100, "Pago Parcial", "Al Día")))))</f>
        <v/>
      </c>
    </row>
    <row r="108" ht="20" customHeight="1">
      <c r="A108" s="15" t="n">
        <v>95</v>
      </c>
      <c r="B108" s="16">
        <f>IF(A108&lt;=$C$9, EDATE($C$10, A108), "")</f>
        <v/>
      </c>
      <c r="C108" s="17">
        <f>IF(A108&lt;=$C$9, H107, 0)</f>
        <v/>
      </c>
      <c r="D108" s="17">
        <f>IF(AND(A108&lt;=$C$9, C108&gt;0), $H$5, 0)</f>
        <v/>
      </c>
      <c r="E108" s="17">
        <f>IF(AND(A108&lt;=$C$9, C108&gt;0), C108*$C$8, 0)</f>
        <v/>
      </c>
      <c r="F108" s="18">
        <f>IF(AND(A108&lt;=$C$9, C108&gt;0), D108, 0)</f>
        <v/>
      </c>
      <c r="G108" s="17">
        <f>IF(AND(A108&lt;=$C$9, C108&gt;0), MIN(C108, MAX(0, F108-E108)), 0)</f>
        <v/>
      </c>
      <c r="H108" s="19">
        <f>IF(AND(A108&lt;=$C$9, C108&gt;0), MAX(0, C108-G108), 0)</f>
        <v/>
      </c>
      <c r="I108" s="15">
        <f>IF(A108&gt;$C$9, "", IF(C108=0, "Finalizado", IF(F108=0, "Sin Pago", IF(F108&gt;D108+100, "Abono Extra", IF(F108&lt;D108-100, "Pago Parcial", "Al Día")))))</f>
        <v/>
      </c>
    </row>
    <row r="109" ht="20" customHeight="1">
      <c r="A109" s="20" t="n">
        <v>96</v>
      </c>
      <c r="B109" s="21">
        <f>IF(A109&lt;=$C$9, EDATE($C$10, A109), "")</f>
        <v/>
      </c>
      <c r="C109" s="22">
        <f>IF(A109&lt;=$C$9, H108, 0)</f>
        <v/>
      </c>
      <c r="D109" s="22">
        <f>IF(AND(A109&lt;=$C$9, C109&gt;0), $H$5, 0)</f>
        <v/>
      </c>
      <c r="E109" s="22">
        <f>IF(AND(A109&lt;=$C$9, C109&gt;0), C109*$C$8, 0)</f>
        <v/>
      </c>
      <c r="F109" s="18">
        <f>IF(AND(A109&lt;=$C$9, C109&gt;0), D109, 0)</f>
        <v/>
      </c>
      <c r="G109" s="22">
        <f>IF(AND(A109&lt;=$C$9, C109&gt;0), MIN(C109, MAX(0, F109-E109)), 0)</f>
        <v/>
      </c>
      <c r="H109" s="23">
        <f>IF(AND(A109&lt;=$C$9, C109&gt;0), MAX(0, C109-G109), 0)</f>
        <v/>
      </c>
      <c r="I109" s="20">
        <f>IF(A109&gt;$C$9, "", IF(C109=0, "Finalizado", IF(F109=0, "Sin Pago", IF(F109&gt;D109+100, "Abono Extra", IF(F109&lt;D109-100, "Pago Parcial", "Al Día")))))</f>
        <v/>
      </c>
    </row>
    <row r="110" ht="20" customHeight="1">
      <c r="A110" s="15" t="n">
        <v>97</v>
      </c>
      <c r="B110" s="16">
        <f>IF(A110&lt;=$C$9, EDATE($C$10, A110), "")</f>
        <v/>
      </c>
      <c r="C110" s="17">
        <f>IF(A110&lt;=$C$9, H109, 0)</f>
        <v/>
      </c>
      <c r="D110" s="17">
        <f>IF(AND(A110&lt;=$C$9, C110&gt;0), $H$5, 0)</f>
        <v/>
      </c>
      <c r="E110" s="17">
        <f>IF(AND(A110&lt;=$C$9, C110&gt;0), C110*$C$8, 0)</f>
        <v/>
      </c>
      <c r="F110" s="18">
        <f>IF(AND(A110&lt;=$C$9, C110&gt;0), D110, 0)</f>
        <v/>
      </c>
      <c r="G110" s="17">
        <f>IF(AND(A110&lt;=$C$9, C110&gt;0), MIN(C110, MAX(0, F110-E110)), 0)</f>
        <v/>
      </c>
      <c r="H110" s="19">
        <f>IF(AND(A110&lt;=$C$9, C110&gt;0), MAX(0, C110-G110), 0)</f>
        <v/>
      </c>
      <c r="I110" s="15">
        <f>IF(A110&gt;$C$9, "", IF(C110=0, "Finalizado", IF(F110=0, "Sin Pago", IF(F110&gt;D110+100, "Abono Extra", IF(F110&lt;D110-100, "Pago Parcial", "Al Día")))))</f>
        <v/>
      </c>
    </row>
    <row r="111" ht="20" customHeight="1">
      <c r="A111" s="20" t="n">
        <v>98</v>
      </c>
      <c r="B111" s="21">
        <f>IF(A111&lt;=$C$9, EDATE($C$10, A111), "")</f>
        <v/>
      </c>
      <c r="C111" s="22">
        <f>IF(A111&lt;=$C$9, H110, 0)</f>
        <v/>
      </c>
      <c r="D111" s="22">
        <f>IF(AND(A111&lt;=$C$9, C111&gt;0), $H$5, 0)</f>
        <v/>
      </c>
      <c r="E111" s="22">
        <f>IF(AND(A111&lt;=$C$9, C111&gt;0), C111*$C$8, 0)</f>
        <v/>
      </c>
      <c r="F111" s="18">
        <f>IF(AND(A111&lt;=$C$9, C111&gt;0), D111, 0)</f>
        <v/>
      </c>
      <c r="G111" s="22">
        <f>IF(AND(A111&lt;=$C$9, C111&gt;0), MIN(C111, MAX(0, F111-E111)), 0)</f>
        <v/>
      </c>
      <c r="H111" s="23">
        <f>IF(AND(A111&lt;=$C$9, C111&gt;0), MAX(0, C111-G111), 0)</f>
        <v/>
      </c>
      <c r="I111" s="20">
        <f>IF(A111&gt;$C$9, "", IF(C111=0, "Finalizado", IF(F111=0, "Sin Pago", IF(F111&gt;D111+100, "Abono Extra", IF(F111&lt;D111-100, "Pago Parcial", "Al Día")))))</f>
        <v/>
      </c>
    </row>
    <row r="112" ht="20" customHeight="1">
      <c r="A112" s="15" t="n">
        <v>99</v>
      </c>
      <c r="B112" s="16">
        <f>IF(A112&lt;=$C$9, EDATE($C$10, A112), "")</f>
        <v/>
      </c>
      <c r="C112" s="17">
        <f>IF(A112&lt;=$C$9, H111, 0)</f>
        <v/>
      </c>
      <c r="D112" s="17">
        <f>IF(AND(A112&lt;=$C$9, C112&gt;0), $H$5, 0)</f>
        <v/>
      </c>
      <c r="E112" s="17">
        <f>IF(AND(A112&lt;=$C$9, C112&gt;0), C112*$C$8, 0)</f>
        <v/>
      </c>
      <c r="F112" s="18">
        <f>IF(AND(A112&lt;=$C$9, C112&gt;0), D112, 0)</f>
        <v/>
      </c>
      <c r="G112" s="17">
        <f>IF(AND(A112&lt;=$C$9, C112&gt;0), MIN(C112, MAX(0, F112-E112)), 0)</f>
        <v/>
      </c>
      <c r="H112" s="19">
        <f>IF(AND(A112&lt;=$C$9, C112&gt;0), MAX(0, C112-G112), 0)</f>
        <v/>
      </c>
      <c r="I112" s="15">
        <f>IF(A112&gt;$C$9, "", IF(C112=0, "Finalizado", IF(F112=0, "Sin Pago", IF(F112&gt;D112+100, "Abono Extra", IF(F112&lt;D112-100, "Pago Parcial", "Al Día")))))</f>
        <v/>
      </c>
    </row>
    <row r="113" ht="20" customHeight="1">
      <c r="A113" s="20" t="n">
        <v>100</v>
      </c>
      <c r="B113" s="21">
        <f>IF(A113&lt;=$C$9, EDATE($C$10, A113), "")</f>
        <v/>
      </c>
      <c r="C113" s="22">
        <f>IF(A113&lt;=$C$9, H112, 0)</f>
        <v/>
      </c>
      <c r="D113" s="22">
        <f>IF(AND(A113&lt;=$C$9, C113&gt;0), $H$5, 0)</f>
        <v/>
      </c>
      <c r="E113" s="22">
        <f>IF(AND(A113&lt;=$C$9, C113&gt;0), C113*$C$8, 0)</f>
        <v/>
      </c>
      <c r="F113" s="18">
        <f>IF(AND(A113&lt;=$C$9, C113&gt;0), D113, 0)</f>
        <v/>
      </c>
      <c r="G113" s="22">
        <f>IF(AND(A113&lt;=$C$9, C113&gt;0), MIN(C113, MAX(0, F113-E113)), 0)</f>
        <v/>
      </c>
      <c r="H113" s="23">
        <f>IF(AND(A113&lt;=$C$9, C113&gt;0), MAX(0, C113-G113), 0)</f>
        <v/>
      </c>
      <c r="I113" s="20">
        <f>IF(A113&gt;$C$9, "", IF(C113=0, "Finalizado", IF(F113=0, "Sin Pago", IF(F113&gt;D113+100, "Abono Extra", IF(F113&lt;D113-100, "Pago Parcial", "Al Día")))))</f>
        <v/>
      </c>
    </row>
    <row r="114" ht="20" customHeight="1">
      <c r="A114" s="15" t="n">
        <v>101</v>
      </c>
      <c r="B114" s="16">
        <f>IF(A114&lt;=$C$9, EDATE($C$10, A114), "")</f>
        <v/>
      </c>
      <c r="C114" s="17">
        <f>IF(A114&lt;=$C$9, H113, 0)</f>
        <v/>
      </c>
      <c r="D114" s="17">
        <f>IF(AND(A114&lt;=$C$9, C114&gt;0), $H$5, 0)</f>
        <v/>
      </c>
      <c r="E114" s="17">
        <f>IF(AND(A114&lt;=$C$9, C114&gt;0), C114*$C$8, 0)</f>
        <v/>
      </c>
      <c r="F114" s="18">
        <f>IF(AND(A114&lt;=$C$9, C114&gt;0), D114, 0)</f>
        <v/>
      </c>
      <c r="G114" s="17">
        <f>IF(AND(A114&lt;=$C$9, C114&gt;0), MIN(C114, MAX(0, F114-E114)), 0)</f>
        <v/>
      </c>
      <c r="H114" s="19">
        <f>IF(AND(A114&lt;=$C$9, C114&gt;0), MAX(0, C114-G114), 0)</f>
        <v/>
      </c>
      <c r="I114" s="15">
        <f>IF(A114&gt;$C$9, "", IF(C114=0, "Finalizado", IF(F114=0, "Sin Pago", IF(F114&gt;D114+100, "Abono Extra", IF(F114&lt;D114-100, "Pago Parcial", "Al Día")))))</f>
        <v/>
      </c>
    </row>
    <row r="115" ht="20" customHeight="1">
      <c r="A115" s="20" t="n">
        <v>102</v>
      </c>
      <c r="B115" s="21">
        <f>IF(A115&lt;=$C$9, EDATE($C$10, A115), "")</f>
        <v/>
      </c>
      <c r="C115" s="22">
        <f>IF(A115&lt;=$C$9, H114, 0)</f>
        <v/>
      </c>
      <c r="D115" s="22">
        <f>IF(AND(A115&lt;=$C$9, C115&gt;0), $H$5, 0)</f>
        <v/>
      </c>
      <c r="E115" s="22">
        <f>IF(AND(A115&lt;=$C$9, C115&gt;0), C115*$C$8, 0)</f>
        <v/>
      </c>
      <c r="F115" s="18">
        <f>IF(AND(A115&lt;=$C$9, C115&gt;0), D115, 0)</f>
        <v/>
      </c>
      <c r="G115" s="22">
        <f>IF(AND(A115&lt;=$C$9, C115&gt;0), MIN(C115, MAX(0, F115-E115)), 0)</f>
        <v/>
      </c>
      <c r="H115" s="23">
        <f>IF(AND(A115&lt;=$C$9, C115&gt;0), MAX(0, C115-G115), 0)</f>
        <v/>
      </c>
      <c r="I115" s="20">
        <f>IF(A115&gt;$C$9, "", IF(C115=0, "Finalizado", IF(F115=0, "Sin Pago", IF(F115&gt;D115+100, "Abono Extra", IF(F115&lt;D115-100, "Pago Parcial", "Al Día")))))</f>
        <v/>
      </c>
    </row>
    <row r="116" ht="20" customHeight="1">
      <c r="A116" s="15" t="n">
        <v>103</v>
      </c>
      <c r="B116" s="16">
        <f>IF(A116&lt;=$C$9, EDATE($C$10, A116), "")</f>
        <v/>
      </c>
      <c r="C116" s="17">
        <f>IF(A116&lt;=$C$9, H115, 0)</f>
        <v/>
      </c>
      <c r="D116" s="17">
        <f>IF(AND(A116&lt;=$C$9, C116&gt;0), $H$5, 0)</f>
        <v/>
      </c>
      <c r="E116" s="17">
        <f>IF(AND(A116&lt;=$C$9, C116&gt;0), C116*$C$8, 0)</f>
        <v/>
      </c>
      <c r="F116" s="18">
        <f>IF(AND(A116&lt;=$C$9, C116&gt;0), D116, 0)</f>
        <v/>
      </c>
      <c r="G116" s="17">
        <f>IF(AND(A116&lt;=$C$9, C116&gt;0), MIN(C116, MAX(0, F116-E116)), 0)</f>
        <v/>
      </c>
      <c r="H116" s="19">
        <f>IF(AND(A116&lt;=$C$9, C116&gt;0), MAX(0, C116-G116), 0)</f>
        <v/>
      </c>
      <c r="I116" s="15">
        <f>IF(A116&gt;$C$9, "", IF(C116=0, "Finalizado", IF(F116=0, "Sin Pago", IF(F116&gt;D116+100, "Abono Extra", IF(F116&lt;D116-100, "Pago Parcial", "Al Día")))))</f>
        <v/>
      </c>
    </row>
    <row r="117" ht="20" customHeight="1">
      <c r="A117" s="20" t="n">
        <v>104</v>
      </c>
      <c r="B117" s="21">
        <f>IF(A117&lt;=$C$9, EDATE($C$10, A117), "")</f>
        <v/>
      </c>
      <c r="C117" s="22">
        <f>IF(A117&lt;=$C$9, H116, 0)</f>
        <v/>
      </c>
      <c r="D117" s="22">
        <f>IF(AND(A117&lt;=$C$9, C117&gt;0), $H$5, 0)</f>
        <v/>
      </c>
      <c r="E117" s="22">
        <f>IF(AND(A117&lt;=$C$9, C117&gt;0), C117*$C$8, 0)</f>
        <v/>
      </c>
      <c r="F117" s="18">
        <f>IF(AND(A117&lt;=$C$9, C117&gt;0), D117, 0)</f>
        <v/>
      </c>
      <c r="G117" s="22">
        <f>IF(AND(A117&lt;=$C$9, C117&gt;0), MIN(C117, MAX(0, F117-E117)), 0)</f>
        <v/>
      </c>
      <c r="H117" s="23">
        <f>IF(AND(A117&lt;=$C$9, C117&gt;0), MAX(0, C117-G117), 0)</f>
        <v/>
      </c>
      <c r="I117" s="20">
        <f>IF(A117&gt;$C$9, "", IF(C117=0, "Finalizado", IF(F117=0, "Sin Pago", IF(F117&gt;D117+100, "Abono Extra", IF(F117&lt;D117-100, "Pago Parcial", "Al Día")))))</f>
        <v/>
      </c>
    </row>
    <row r="118" ht="20" customHeight="1">
      <c r="A118" s="15" t="n">
        <v>105</v>
      </c>
      <c r="B118" s="16">
        <f>IF(A118&lt;=$C$9, EDATE($C$10, A118), "")</f>
        <v/>
      </c>
      <c r="C118" s="17">
        <f>IF(A118&lt;=$C$9, H117, 0)</f>
        <v/>
      </c>
      <c r="D118" s="17">
        <f>IF(AND(A118&lt;=$C$9, C118&gt;0), $H$5, 0)</f>
        <v/>
      </c>
      <c r="E118" s="17">
        <f>IF(AND(A118&lt;=$C$9, C118&gt;0), C118*$C$8, 0)</f>
        <v/>
      </c>
      <c r="F118" s="18">
        <f>IF(AND(A118&lt;=$C$9, C118&gt;0), D118, 0)</f>
        <v/>
      </c>
      <c r="G118" s="17">
        <f>IF(AND(A118&lt;=$C$9, C118&gt;0), MIN(C118, MAX(0, F118-E118)), 0)</f>
        <v/>
      </c>
      <c r="H118" s="19">
        <f>IF(AND(A118&lt;=$C$9, C118&gt;0), MAX(0, C118-G118), 0)</f>
        <v/>
      </c>
      <c r="I118" s="15">
        <f>IF(A118&gt;$C$9, "", IF(C118=0, "Finalizado", IF(F118=0, "Sin Pago", IF(F118&gt;D118+100, "Abono Extra", IF(F118&lt;D118-100, "Pago Parcial", "Al Día")))))</f>
        <v/>
      </c>
    </row>
    <row r="119" ht="20" customHeight="1">
      <c r="A119" s="20" t="n">
        <v>106</v>
      </c>
      <c r="B119" s="21">
        <f>IF(A119&lt;=$C$9, EDATE($C$10, A119), "")</f>
        <v/>
      </c>
      <c r="C119" s="22">
        <f>IF(A119&lt;=$C$9, H118, 0)</f>
        <v/>
      </c>
      <c r="D119" s="22">
        <f>IF(AND(A119&lt;=$C$9, C119&gt;0), $H$5, 0)</f>
        <v/>
      </c>
      <c r="E119" s="22">
        <f>IF(AND(A119&lt;=$C$9, C119&gt;0), C119*$C$8, 0)</f>
        <v/>
      </c>
      <c r="F119" s="18">
        <f>IF(AND(A119&lt;=$C$9, C119&gt;0), D119, 0)</f>
        <v/>
      </c>
      <c r="G119" s="22">
        <f>IF(AND(A119&lt;=$C$9, C119&gt;0), MIN(C119, MAX(0, F119-E119)), 0)</f>
        <v/>
      </c>
      <c r="H119" s="23">
        <f>IF(AND(A119&lt;=$C$9, C119&gt;0), MAX(0, C119-G119), 0)</f>
        <v/>
      </c>
      <c r="I119" s="20">
        <f>IF(A119&gt;$C$9, "", IF(C119=0, "Finalizado", IF(F119=0, "Sin Pago", IF(F119&gt;D119+100, "Abono Extra", IF(F119&lt;D119-100, "Pago Parcial", "Al Día")))))</f>
        <v/>
      </c>
    </row>
    <row r="120" ht="20" customHeight="1">
      <c r="A120" s="15" t="n">
        <v>107</v>
      </c>
      <c r="B120" s="16">
        <f>IF(A120&lt;=$C$9, EDATE($C$10, A120), "")</f>
        <v/>
      </c>
      <c r="C120" s="17">
        <f>IF(A120&lt;=$C$9, H119, 0)</f>
        <v/>
      </c>
      <c r="D120" s="17">
        <f>IF(AND(A120&lt;=$C$9, C120&gt;0), $H$5, 0)</f>
        <v/>
      </c>
      <c r="E120" s="17">
        <f>IF(AND(A120&lt;=$C$9, C120&gt;0), C120*$C$8, 0)</f>
        <v/>
      </c>
      <c r="F120" s="18">
        <f>IF(AND(A120&lt;=$C$9, C120&gt;0), D120, 0)</f>
        <v/>
      </c>
      <c r="G120" s="17">
        <f>IF(AND(A120&lt;=$C$9, C120&gt;0), MIN(C120, MAX(0, F120-E120)), 0)</f>
        <v/>
      </c>
      <c r="H120" s="19">
        <f>IF(AND(A120&lt;=$C$9, C120&gt;0), MAX(0, C120-G120), 0)</f>
        <v/>
      </c>
      <c r="I120" s="15">
        <f>IF(A120&gt;$C$9, "", IF(C120=0, "Finalizado", IF(F120=0, "Sin Pago", IF(F120&gt;D120+100, "Abono Extra", IF(F120&lt;D120-100, "Pago Parcial", "Al Día")))))</f>
        <v/>
      </c>
    </row>
    <row r="121" ht="20" customHeight="1">
      <c r="A121" s="20" t="n">
        <v>108</v>
      </c>
      <c r="B121" s="21">
        <f>IF(A121&lt;=$C$9, EDATE($C$10, A121), "")</f>
        <v/>
      </c>
      <c r="C121" s="22">
        <f>IF(A121&lt;=$C$9, H120, 0)</f>
        <v/>
      </c>
      <c r="D121" s="22">
        <f>IF(AND(A121&lt;=$C$9, C121&gt;0), $H$5, 0)</f>
        <v/>
      </c>
      <c r="E121" s="22">
        <f>IF(AND(A121&lt;=$C$9, C121&gt;0), C121*$C$8, 0)</f>
        <v/>
      </c>
      <c r="F121" s="18">
        <f>IF(AND(A121&lt;=$C$9, C121&gt;0), D121, 0)</f>
        <v/>
      </c>
      <c r="G121" s="22">
        <f>IF(AND(A121&lt;=$C$9, C121&gt;0), MIN(C121, MAX(0, F121-E121)), 0)</f>
        <v/>
      </c>
      <c r="H121" s="23">
        <f>IF(AND(A121&lt;=$C$9, C121&gt;0), MAX(0, C121-G121), 0)</f>
        <v/>
      </c>
      <c r="I121" s="20">
        <f>IF(A121&gt;$C$9, "", IF(C121=0, "Finalizado", IF(F121=0, "Sin Pago", IF(F121&gt;D121+100, "Abono Extra", IF(F121&lt;D121-100, "Pago Parcial", "Al Día")))))</f>
        <v/>
      </c>
    </row>
    <row r="122" ht="20" customHeight="1">
      <c r="A122" s="15" t="n">
        <v>109</v>
      </c>
      <c r="B122" s="16">
        <f>IF(A122&lt;=$C$9, EDATE($C$10, A122), "")</f>
        <v/>
      </c>
      <c r="C122" s="17">
        <f>IF(A122&lt;=$C$9, H121, 0)</f>
        <v/>
      </c>
      <c r="D122" s="17">
        <f>IF(AND(A122&lt;=$C$9, C122&gt;0), $H$5, 0)</f>
        <v/>
      </c>
      <c r="E122" s="17">
        <f>IF(AND(A122&lt;=$C$9, C122&gt;0), C122*$C$8, 0)</f>
        <v/>
      </c>
      <c r="F122" s="18">
        <f>IF(AND(A122&lt;=$C$9, C122&gt;0), D122, 0)</f>
        <v/>
      </c>
      <c r="G122" s="17">
        <f>IF(AND(A122&lt;=$C$9, C122&gt;0), MIN(C122, MAX(0, F122-E122)), 0)</f>
        <v/>
      </c>
      <c r="H122" s="19">
        <f>IF(AND(A122&lt;=$C$9, C122&gt;0), MAX(0, C122-G122), 0)</f>
        <v/>
      </c>
      <c r="I122" s="15">
        <f>IF(A122&gt;$C$9, "", IF(C122=0, "Finalizado", IF(F122=0, "Sin Pago", IF(F122&gt;D122+100, "Abono Extra", IF(F122&lt;D122-100, "Pago Parcial", "Al Día")))))</f>
        <v/>
      </c>
    </row>
    <row r="123" ht="20" customHeight="1">
      <c r="A123" s="20" t="n">
        <v>110</v>
      </c>
      <c r="B123" s="21">
        <f>IF(A123&lt;=$C$9, EDATE($C$10, A123), "")</f>
        <v/>
      </c>
      <c r="C123" s="22">
        <f>IF(A123&lt;=$C$9, H122, 0)</f>
        <v/>
      </c>
      <c r="D123" s="22">
        <f>IF(AND(A123&lt;=$C$9, C123&gt;0), $H$5, 0)</f>
        <v/>
      </c>
      <c r="E123" s="22">
        <f>IF(AND(A123&lt;=$C$9, C123&gt;0), C123*$C$8, 0)</f>
        <v/>
      </c>
      <c r="F123" s="18">
        <f>IF(AND(A123&lt;=$C$9, C123&gt;0), D123, 0)</f>
        <v/>
      </c>
      <c r="G123" s="22">
        <f>IF(AND(A123&lt;=$C$9, C123&gt;0), MIN(C123, MAX(0, F123-E123)), 0)</f>
        <v/>
      </c>
      <c r="H123" s="23">
        <f>IF(AND(A123&lt;=$C$9, C123&gt;0), MAX(0, C123-G123), 0)</f>
        <v/>
      </c>
      <c r="I123" s="20">
        <f>IF(A123&gt;$C$9, "", IF(C123=0, "Finalizado", IF(F123=0, "Sin Pago", IF(F123&gt;D123+100, "Abono Extra", IF(F123&lt;D123-100, "Pago Parcial", "Al Día")))))</f>
        <v/>
      </c>
    </row>
    <row r="124" ht="20" customHeight="1">
      <c r="A124" s="15" t="n">
        <v>111</v>
      </c>
      <c r="B124" s="16">
        <f>IF(A124&lt;=$C$9, EDATE($C$10, A124), "")</f>
        <v/>
      </c>
      <c r="C124" s="17">
        <f>IF(A124&lt;=$C$9, H123, 0)</f>
        <v/>
      </c>
      <c r="D124" s="17">
        <f>IF(AND(A124&lt;=$C$9, C124&gt;0), $H$5, 0)</f>
        <v/>
      </c>
      <c r="E124" s="17">
        <f>IF(AND(A124&lt;=$C$9, C124&gt;0), C124*$C$8, 0)</f>
        <v/>
      </c>
      <c r="F124" s="18">
        <f>IF(AND(A124&lt;=$C$9, C124&gt;0), D124, 0)</f>
        <v/>
      </c>
      <c r="G124" s="17">
        <f>IF(AND(A124&lt;=$C$9, C124&gt;0), MIN(C124, MAX(0, F124-E124)), 0)</f>
        <v/>
      </c>
      <c r="H124" s="19">
        <f>IF(AND(A124&lt;=$C$9, C124&gt;0), MAX(0, C124-G124), 0)</f>
        <v/>
      </c>
      <c r="I124" s="15">
        <f>IF(A124&gt;$C$9, "", IF(C124=0, "Finalizado", IF(F124=0, "Sin Pago", IF(F124&gt;D124+100, "Abono Extra", IF(F124&lt;D124-100, "Pago Parcial", "Al Día")))))</f>
        <v/>
      </c>
    </row>
    <row r="125" ht="20" customHeight="1">
      <c r="A125" s="20" t="n">
        <v>112</v>
      </c>
      <c r="B125" s="21">
        <f>IF(A125&lt;=$C$9, EDATE($C$10, A125), "")</f>
        <v/>
      </c>
      <c r="C125" s="22">
        <f>IF(A125&lt;=$C$9, H124, 0)</f>
        <v/>
      </c>
      <c r="D125" s="22">
        <f>IF(AND(A125&lt;=$C$9, C125&gt;0), $H$5, 0)</f>
        <v/>
      </c>
      <c r="E125" s="22">
        <f>IF(AND(A125&lt;=$C$9, C125&gt;0), C125*$C$8, 0)</f>
        <v/>
      </c>
      <c r="F125" s="18">
        <f>IF(AND(A125&lt;=$C$9, C125&gt;0), D125, 0)</f>
        <v/>
      </c>
      <c r="G125" s="22">
        <f>IF(AND(A125&lt;=$C$9, C125&gt;0), MIN(C125, MAX(0, F125-E125)), 0)</f>
        <v/>
      </c>
      <c r="H125" s="23">
        <f>IF(AND(A125&lt;=$C$9, C125&gt;0), MAX(0, C125-G125), 0)</f>
        <v/>
      </c>
      <c r="I125" s="20">
        <f>IF(A125&gt;$C$9, "", IF(C125=0, "Finalizado", IF(F125=0, "Sin Pago", IF(F125&gt;D125+100, "Abono Extra", IF(F125&lt;D125-100, "Pago Parcial", "Al Día")))))</f>
        <v/>
      </c>
    </row>
    <row r="126" ht="20" customHeight="1">
      <c r="A126" s="15" t="n">
        <v>113</v>
      </c>
      <c r="B126" s="16">
        <f>IF(A126&lt;=$C$9, EDATE($C$10, A126), "")</f>
        <v/>
      </c>
      <c r="C126" s="17">
        <f>IF(A126&lt;=$C$9, H125, 0)</f>
        <v/>
      </c>
      <c r="D126" s="17">
        <f>IF(AND(A126&lt;=$C$9, C126&gt;0), $H$5, 0)</f>
        <v/>
      </c>
      <c r="E126" s="17">
        <f>IF(AND(A126&lt;=$C$9, C126&gt;0), C126*$C$8, 0)</f>
        <v/>
      </c>
      <c r="F126" s="18">
        <f>IF(AND(A126&lt;=$C$9, C126&gt;0), D126, 0)</f>
        <v/>
      </c>
      <c r="G126" s="17">
        <f>IF(AND(A126&lt;=$C$9, C126&gt;0), MIN(C126, MAX(0, F126-E126)), 0)</f>
        <v/>
      </c>
      <c r="H126" s="19">
        <f>IF(AND(A126&lt;=$C$9, C126&gt;0), MAX(0, C126-G126), 0)</f>
        <v/>
      </c>
      <c r="I126" s="15">
        <f>IF(A126&gt;$C$9, "", IF(C126=0, "Finalizado", IF(F126=0, "Sin Pago", IF(F126&gt;D126+100, "Abono Extra", IF(F126&lt;D126-100, "Pago Parcial", "Al Día")))))</f>
        <v/>
      </c>
    </row>
    <row r="127" ht="20" customHeight="1">
      <c r="A127" s="20" t="n">
        <v>114</v>
      </c>
      <c r="B127" s="21">
        <f>IF(A127&lt;=$C$9, EDATE($C$10, A127), "")</f>
        <v/>
      </c>
      <c r="C127" s="22">
        <f>IF(A127&lt;=$C$9, H126, 0)</f>
        <v/>
      </c>
      <c r="D127" s="22">
        <f>IF(AND(A127&lt;=$C$9, C127&gt;0), $H$5, 0)</f>
        <v/>
      </c>
      <c r="E127" s="22">
        <f>IF(AND(A127&lt;=$C$9, C127&gt;0), C127*$C$8, 0)</f>
        <v/>
      </c>
      <c r="F127" s="18">
        <f>IF(AND(A127&lt;=$C$9, C127&gt;0), D127, 0)</f>
        <v/>
      </c>
      <c r="G127" s="22">
        <f>IF(AND(A127&lt;=$C$9, C127&gt;0), MIN(C127, MAX(0, F127-E127)), 0)</f>
        <v/>
      </c>
      <c r="H127" s="23">
        <f>IF(AND(A127&lt;=$C$9, C127&gt;0), MAX(0, C127-G127), 0)</f>
        <v/>
      </c>
      <c r="I127" s="20">
        <f>IF(A127&gt;$C$9, "", IF(C127=0, "Finalizado", IF(F127=0, "Sin Pago", IF(F127&gt;D127+100, "Abono Extra", IF(F127&lt;D127-100, "Pago Parcial", "Al Día")))))</f>
        <v/>
      </c>
    </row>
    <row r="128" ht="20" customHeight="1">
      <c r="A128" s="15" t="n">
        <v>115</v>
      </c>
      <c r="B128" s="16">
        <f>IF(A128&lt;=$C$9, EDATE($C$10, A128), "")</f>
        <v/>
      </c>
      <c r="C128" s="17">
        <f>IF(A128&lt;=$C$9, H127, 0)</f>
        <v/>
      </c>
      <c r="D128" s="17">
        <f>IF(AND(A128&lt;=$C$9, C128&gt;0), $H$5, 0)</f>
        <v/>
      </c>
      <c r="E128" s="17">
        <f>IF(AND(A128&lt;=$C$9, C128&gt;0), C128*$C$8, 0)</f>
        <v/>
      </c>
      <c r="F128" s="18">
        <f>IF(AND(A128&lt;=$C$9, C128&gt;0), D128, 0)</f>
        <v/>
      </c>
      <c r="G128" s="17">
        <f>IF(AND(A128&lt;=$C$9, C128&gt;0), MIN(C128, MAX(0, F128-E128)), 0)</f>
        <v/>
      </c>
      <c r="H128" s="19">
        <f>IF(AND(A128&lt;=$C$9, C128&gt;0), MAX(0, C128-G128), 0)</f>
        <v/>
      </c>
      <c r="I128" s="15">
        <f>IF(A128&gt;$C$9, "", IF(C128=0, "Finalizado", IF(F128=0, "Sin Pago", IF(F128&gt;D128+100, "Abono Extra", IF(F128&lt;D128-100, "Pago Parcial", "Al Día")))))</f>
        <v/>
      </c>
    </row>
    <row r="129" ht="20" customHeight="1">
      <c r="A129" s="20" t="n">
        <v>116</v>
      </c>
      <c r="B129" s="21">
        <f>IF(A129&lt;=$C$9, EDATE($C$10, A129), "")</f>
        <v/>
      </c>
      <c r="C129" s="22">
        <f>IF(A129&lt;=$C$9, H128, 0)</f>
        <v/>
      </c>
      <c r="D129" s="22">
        <f>IF(AND(A129&lt;=$C$9, C129&gt;0), $H$5, 0)</f>
        <v/>
      </c>
      <c r="E129" s="22">
        <f>IF(AND(A129&lt;=$C$9, C129&gt;0), C129*$C$8, 0)</f>
        <v/>
      </c>
      <c r="F129" s="18">
        <f>IF(AND(A129&lt;=$C$9, C129&gt;0), D129, 0)</f>
        <v/>
      </c>
      <c r="G129" s="22">
        <f>IF(AND(A129&lt;=$C$9, C129&gt;0), MIN(C129, MAX(0, F129-E129)), 0)</f>
        <v/>
      </c>
      <c r="H129" s="23">
        <f>IF(AND(A129&lt;=$C$9, C129&gt;0), MAX(0, C129-G129), 0)</f>
        <v/>
      </c>
      <c r="I129" s="20">
        <f>IF(A129&gt;$C$9, "", IF(C129=0, "Finalizado", IF(F129=0, "Sin Pago", IF(F129&gt;D129+100, "Abono Extra", IF(F129&lt;D129-100, "Pago Parcial", "Al Día")))))</f>
        <v/>
      </c>
    </row>
    <row r="130" ht="20" customHeight="1">
      <c r="A130" s="15" t="n">
        <v>117</v>
      </c>
      <c r="B130" s="16">
        <f>IF(A130&lt;=$C$9, EDATE($C$10, A130), "")</f>
        <v/>
      </c>
      <c r="C130" s="17">
        <f>IF(A130&lt;=$C$9, H129, 0)</f>
        <v/>
      </c>
      <c r="D130" s="17">
        <f>IF(AND(A130&lt;=$C$9, C130&gt;0), $H$5, 0)</f>
        <v/>
      </c>
      <c r="E130" s="17">
        <f>IF(AND(A130&lt;=$C$9, C130&gt;0), C130*$C$8, 0)</f>
        <v/>
      </c>
      <c r="F130" s="18">
        <f>IF(AND(A130&lt;=$C$9, C130&gt;0), D130, 0)</f>
        <v/>
      </c>
      <c r="G130" s="17">
        <f>IF(AND(A130&lt;=$C$9, C130&gt;0), MIN(C130, MAX(0, F130-E130)), 0)</f>
        <v/>
      </c>
      <c r="H130" s="19">
        <f>IF(AND(A130&lt;=$C$9, C130&gt;0), MAX(0, C130-G130), 0)</f>
        <v/>
      </c>
      <c r="I130" s="15">
        <f>IF(A130&gt;$C$9, "", IF(C130=0, "Finalizado", IF(F130=0, "Sin Pago", IF(F130&gt;D130+100, "Abono Extra", IF(F130&lt;D130-100, "Pago Parcial", "Al Día")))))</f>
        <v/>
      </c>
    </row>
    <row r="131" ht="20" customHeight="1">
      <c r="A131" s="20" t="n">
        <v>118</v>
      </c>
      <c r="B131" s="21">
        <f>IF(A131&lt;=$C$9, EDATE($C$10, A131), "")</f>
        <v/>
      </c>
      <c r="C131" s="22">
        <f>IF(A131&lt;=$C$9, H130, 0)</f>
        <v/>
      </c>
      <c r="D131" s="22">
        <f>IF(AND(A131&lt;=$C$9, C131&gt;0), $H$5, 0)</f>
        <v/>
      </c>
      <c r="E131" s="22">
        <f>IF(AND(A131&lt;=$C$9, C131&gt;0), C131*$C$8, 0)</f>
        <v/>
      </c>
      <c r="F131" s="18">
        <f>IF(AND(A131&lt;=$C$9, C131&gt;0), D131, 0)</f>
        <v/>
      </c>
      <c r="G131" s="22">
        <f>IF(AND(A131&lt;=$C$9, C131&gt;0), MIN(C131, MAX(0, F131-E131)), 0)</f>
        <v/>
      </c>
      <c r="H131" s="23">
        <f>IF(AND(A131&lt;=$C$9, C131&gt;0), MAX(0, C131-G131), 0)</f>
        <v/>
      </c>
      <c r="I131" s="20">
        <f>IF(A131&gt;$C$9, "", IF(C131=0, "Finalizado", IF(F131=0, "Sin Pago", IF(F131&gt;D131+100, "Abono Extra", IF(F131&lt;D131-100, "Pago Parcial", "Al Día")))))</f>
        <v/>
      </c>
    </row>
    <row r="132" ht="20" customHeight="1">
      <c r="A132" s="15" t="n">
        <v>119</v>
      </c>
      <c r="B132" s="16">
        <f>IF(A132&lt;=$C$9, EDATE($C$10, A132), "")</f>
        <v/>
      </c>
      <c r="C132" s="17">
        <f>IF(A132&lt;=$C$9, H131, 0)</f>
        <v/>
      </c>
      <c r="D132" s="17">
        <f>IF(AND(A132&lt;=$C$9, C132&gt;0), $H$5, 0)</f>
        <v/>
      </c>
      <c r="E132" s="17">
        <f>IF(AND(A132&lt;=$C$9, C132&gt;0), C132*$C$8, 0)</f>
        <v/>
      </c>
      <c r="F132" s="18">
        <f>IF(AND(A132&lt;=$C$9, C132&gt;0), D132, 0)</f>
        <v/>
      </c>
      <c r="G132" s="17">
        <f>IF(AND(A132&lt;=$C$9, C132&gt;0), MIN(C132, MAX(0, F132-E132)), 0)</f>
        <v/>
      </c>
      <c r="H132" s="19">
        <f>IF(AND(A132&lt;=$C$9, C132&gt;0), MAX(0, C132-G132), 0)</f>
        <v/>
      </c>
      <c r="I132" s="15">
        <f>IF(A132&gt;$C$9, "", IF(C132=0, "Finalizado", IF(F132=0, "Sin Pago", IF(F132&gt;D132+100, "Abono Extra", IF(F132&lt;D132-100, "Pago Parcial", "Al Día")))))</f>
        <v/>
      </c>
    </row>
    <row r="133" ht="20" customHeight="1">
      <c r="A133" s="20" t="n">
        <v>120</v>
      </c>
      <c r="B133" s="21">
        <f>IF(A133&lt;=$C$9, EDATE($C$10, A133), "")</f>
        <v/>
      </c>
      <c r="C133" s="22">
        <f>IF(A133&lt;=$C$9, H132, 0)</f>
        <v/>
      </c>
      <c r="D133" s="22">
        <f>IF(AND(A133&lt;=$C$9, C133&gt;0), $H$5, 0)</f>
        <v/>
      </c>
      <c r="E133" s="22">
        <f>IF(AND(A133&lt;=$C$9, C133&gt;0), C133*$C$8, 0)</f>
        <v/>
      </c>
      <c r="F133" s="18">
        <f>IF(AND(A133&lt;=$C$9, C133&gt;0), D133, 0)</f>
        <v/>
      </c>
      <c r="G133" s="22">
        <f>IF(AND(A133&lt;=$C$9, C133&gt;0), MIN(C133, MAX(0, F133-E133)), 0)</f>
        <v/>
      </c>
      <c r="H133" s="23">
        <f>IF(AND(A133&lt;=$C$9, C133&gt;0), MAX(0, C133-G133), 0)</f>
        <v/>
      </c>
      <c r="I133" s="20">
        <f>IF(A133&gt;$C$9, "", IF(C133=0, "Finalizado", IF(F133=0, "Sin Pago", IF(F133&gt;D133+100, "Abono Extra", IF(F133&lt;D133-100, "Pago Parcial", "Al Día")))))</f>
        <v/>
      </c>
    </row>
    <row r="134" ht="20" customHeight="1">
      <c r="A134" s="15" t="n">
        <v>121</v>
      </c>
      <c r="B134" s="16">
        <f>IF(A134&lt;=$C$9, EDATE($C$10, A134), "")</f>
        <v/>
      </c>
      <c r="C134" s="17">
        <f>IF(A134&lt;=$C$9, H133, 0)</f>
        <v/>
      </c>
      <c r="D134" s="17">
        <f>IF(AND(A134&lt;=$C$9, C134&gt;0), $H$5, 0)</f>
        <v/>
      </c>
      <c r="E134" s="17">
        <f>IF(AND(A134&lt;=$C$9, C134&gt;0), C134*$C$8, 0)</f>
        <v/>
      </c>
      <c r="F134" s="18">
        <f>IF(AND(A134&lt;=$C$9, C134&gt;0), D134, 0)</f>
        <v/>
      </c>
      <c r="G134" s="17">
        <f>IF(AND(A134&lt;=$C$9, C134&gt;0), MIN(C134, MAX(0, F134-E134)), 0)</f>
        <v/>
      </c>
      <c r="H134" s="19">
        <f>IF(AND(A134&lt;=$C$9, C134&gt;0), MAX(0, C134-G134), 0)</f>
        <v/>
      </c>
      <c r="I134" s="15">
        <f>IF(A134&gt;$C$9, "", IF(C134=0, "Finalizado", IF(F134=0, "Sin Pago", IF(F134&gt;D134+100, "Abono Extra", IF(F134&lt;D134-100, "Pago Parcial", "Al Día")))))</f>
        <v/>
      </c>
    </row>
    <row r="135" ht="20" customHeight="1">
      <c r="A135" s="20" t="n">
        <v>122</v>
      </c>
      <c r="B135" s="21">
        <f>IF(A135&lt;=$C$9, EDATE($C$10, A135), "")</f>
        <v/>
      </c>
      <c r="C135" s="22">
        <f>IF(A135&lt;=$C$9, H134, 0)</f>
        <v/>
      </c>
      <c r="D135" s="22">
        <f>IF(AND(A135&lt;=$C$9, C135&gt;0), $H$5, 0)</f>
        <v/>
      </c>
      <c r="E135" s="22">
        <f>IF(AND(A135&lt;=$C$9, C135&gt;0), C135*$C$8, 0)</f>
        <v/>
      </c>
      <c r="F135" s="18">
        <f>IF(AND(A135&lt;=$C$9, C135&gt;0), D135, 0)</f>
        <v/>
      </c>
      <c r="G135" s="22">
        <f>IF(AND(A135&lt;=$C$9, C135&gt;0), MIN(C135, MAX(0, F135-E135)), 0)</f>
        <v/>
      </c>
      <c r="H135" s="23">
        <f>IF(AND(A135&lt;=$C$9, C135&gt;0), MAX(0, C135-G135), 0)</f>
        <v/>
      </c>
      <c r="I135" s="20">
        <f>IF(A135&gt;$C$9, "", IF(C135=0, "Finalizado", IF(F135=0, "Sin Pago", IF(F135&gt;D135+100, "Abono Extra", IF(F135&lt;D135-100, "Pago Parcial", "Al Día")))))</f>
        <v/>
      </c>
    </row>
    <row r="136" ht="20" customHeight="1">
      <c r="A136" s="15" t="n">
        <v>123</v>
      </c>
      <c r="B136" s="16">
        <f>IF(A136&lt;=$C$9, EDATE($C$10, A136), "")</f>
        <v/>
      </c>
      <c r="C136" s="17">
        <f>IF(A136&lt;=$C$9, H135, 0)</f>
        <v/>
      </c>
      <c r="D136" s="17">
        <f>IF(AND(A136&lt;=$C$9, C136&gt;0), $H$5, 0)</f>
        <v/>
      </c>
      <c r="E136" s="17">
        <f>IF(AND(A136&lt;=$C$9, C136&gt;0), C136*$C$8, 0)</f>
        <v/>
      </c>
      <c r="F136" s="18">
        <f>IF(AND(A136&lt;=$C$9, C136&gt;0), D136, 0)</f>
        <v/>
      </c>
      <c r="G136" s="17">
        <f>IF(AND(A136&lt;=$C$9, C136&gt;0), MIN(C136, MAX(0, F136-E136)), 0)</f>
        <v/>
      </c>
      <c r="H136" s="19">
        <f>IF(AND(A136&lt;=$C$9, C136&gt;0), MAX(0, C136-G136), 0)</f>
        <v/>
      </c>
      <c r="I136" s="15">
        <f>IF(A136&gt;$C$9, "", IF(C136=0, "Finalizado", IF(F136=0, "Sin Pago", IF(F136&gt;D136+100, "Abono Extra", IF(F136&lt;D136-100, "Pago Parcial", "Al Día")))))</f>
        <v/>
      </c>
    </row>
    <row r="137" ht="20" customHeight="1">
      <c r="A137" s="20" t="n">
        <v>124</v>
      </c>
      <c r="B137" s="21">
        <f>IF(A137&lt;=$C$9, EDATE($C$10, A137), "")</f>
        <v/>
      </c>
      <c r="C137" s="22">
        <f>IF(A137&lt;=$C$9, H136, 0)</f>
        <v/>
      </c>
      <c r="D137" s="22">
        <f>IF(AND(A137&lt;=$C$9, C137&gt;0), $H$5, 0)</f>
        <v/>
      </c>
      <c r="E137" s="22">
        <f>IF(AND(A137&lt;=$C$9, C137&gt;0), C137*$C$8, 0)</f>
        <v/>
      </c>
      <c r="F137" s="18">
        <f>IF(AND(A137&lt;=$C$9, C137&gt;0), D137, 0)</f>
        <v/>
      </c>
      <c r="G137" s="22">
        <f>IF(AND(A137&lt;=$C$9, C137&gt;0), MIN(C137, MAX(0, F137-E137)), 0)</f>
        <v/>
      </c>
      <c r="H137" s="23">
        <f>IF(AND(A137&lt;=$C$9, C137&gt;0), MAX(0, C137-G137), 0)</f>
        <v/>
      </c>
      <c r="I137" s="20">
        <f>IF(A137&gt;$C$9, "", IF(C137=0, "Finalizado", IF(F137=0, "Sin Pago", IF(F137&gt;D137+100, "Abono Extra", IF(F137&lt;D137-100, "Pago Parcial", "Al Día")))))</f>
        <v/>
      </c>
    </row>
    <row r="138" ht="20" customHeight="1">
      <c r="A138" s="15" t="n">
        <v>125</v>
      </c>
      <c r="B138" s="16">
        <f>IF(A138&lt;=$C$9, EDATE($C$10, A138), "")</f>
        <v/>
      </c>
      <c r="C138" s="17">
        <f>IF(A138&lt;=$C$9, H137, 0)</f>
        <v/>
      </c>
      <c r="D138" s="17">
        <f>IF(AND(A138&lt;=$C$9, C138&gt;0), $H$5, 0)</f>
        <v/>
      </c>
      <c r="E138" s="17">
        <f>IF(AND(A138&lt;=$C$9, C138&gt;0), C138*$C$8, 0)</f>
        <v/>
      </c>
      <c r="F138" s="18">
        <f>IF(AND(A138&lt;=$C$9, C138&gt;0), D138, 0)</f>
        <v/>
      </c>
      <c r="G138" s="17">
        <f>IF(AND(A138&lt;=$C$9, C138&gt;0), MIN(C138, MAX(0, F138-E138)), 0)</f>
        <v/>
      </c>
      <c r="H138" s="19">
        <f>IF(AND(A138&lt;=$C$9, C138&gt;0), MAX(0, C138-G138), 0)</f>
        <v/>
      </c>
      <c r="I138" s="15">
        <f>IF(A138&gt;$C$9, "", IF(C138=0, "Finalizado", IF(F138=0, "Sin Pago", IF(F138&gt;D138+100, "Abono Extra", IF(F138&lt;D138-100, "Pago Parcial", "Al Día")))))</f>
        <v/>
      </c>
    </row>
    <row r="139" ht="20" customHeight="1">
      <c r="A139" s="20" t="n">
        <v>126</v>
      </c>
      <c r="B139" s="21">
        <f>IF(A139&lt;=$C$9, EDATE($C$10, A139), "")</f>
        <v/>
      </c>
      <c r="C139" s="22">
        <f>IF(A139&lt;=$C$9, H138, 0)</f>
        <v/>
      </c>
      <c r="D139" s="22">
        <f>IF(AND(A139&lt;=$C$9, C139&gt;0), $H$5, 0)</f>
        <v/>
      </c>
      <c r="E139" s="22">
        <f>IF(AND(A139&lt;=$C$9, C139&gt;0), C139*$C$8, 0)</f>
        <v/>
      </c>
      <c r="F139" s="18">
        <f>IF(AND(A139&lt;=$C$9, C139&gt;0), D139, 0)</f>
        <v/>
      </c>
      <c r="G139" s="22">
        <f>IF(AND(A139&lt;=$C$9, C139&gt;0), MIN(C139, MAX(0, F139-E139)), 0)</f>
        <v/>
      </c>
      <c r="H139" s="23">
        <f>IF(AND(A139&lt;=$C$9, C139&gt;0), MAX(0, C139-G139), 0)</f>
        <v/>
      </c>
      <c r="I139" s="20">
        <f>IF(A139&gt;$C$9, "", IF(C139=0, "Finalizado", IF(F139=0, "Sin Pago", IF(F139&gt;D139+100, "Abono Extra", IF(F139&lt;D139-100, "Pago Parcial", "Al Día")))))</f>
        <v/>
      </c>
    </row>
    <row r="140" ht="20" customHeight="1">
      <c r="A140" s="15" t="n">
        <v>127</v>
      </c>
      <c r="B140" s="16">
        <f>IF(A140&lt;=$C$9, EDATE($C$10, A140), "")</f>
        <v/>
      </c>
      <c r="C140" s="17">
        <f>IF(A140&lt;=$C$9, H139, 0)</f>
        <v/>
      </c>
      <c r="D140" s="17">
        <f>IF(AND(A140&lt;=$C$9, C140&gt;0), $H$5, 0)</f>
        <v/>
      </c>
      <c r="E140" s="17">
        <f>IF(AND(A140&lt;=$C$9, C140&gt;0), C140*$C$8, 0)</f>
        <v/>
      </c>
      <c r="F140" s="18">
        <f>IF(AND(A140&lt;=$C$9, C140&gt;0), D140, 0)</f>
        <v/>
      </c>
      <c r="G140" s="17">
        <f>IF(AND(A140&lt;=$C$9, C140&gt;0), MIN(C140, MAX(0, F140-E140)), 0)</f>
        <v/>
      </c>
      <c r="H140" s="19">
        <f>IF(AND(A140&lt;=$C$9, C140&gt;0), MAX(0, C140-G140), 0)</f>
        <v/>
      </c>
      <c r="I140" s="15">
        <f>IF(A140&gt;$C$9, "", IF(C140=0, "Finalizado", IF(F140=0, "Sin Pago", IF(F140&gt;D140+100, "Abono Extra", IF(F140&lt;D140-100, "Pago Parcial", "Al Día")))))</f>
        <v/>
      </c>
    </row>
    <row r="141" ht="20" customHeight="1">
      <c r="A141" s="20" t="n">
        <v>128</v>
      </c>
      <c r="B141" s="21">
        <f>IF(A141&lt;=$C$9, EDATE($C$10, A141), "")</f>
        <v/>
      </c>
      <c r="C141" s="22">
        <f>IF(A141&lt;=$C$9, H140, 0)</f>
        <v/>
      </c>
      <c r="D141" s="22">
        <f>IF(AND(A141&lt;=$C$9, C141&gt;0), $H$5, 0)</f>
        <v/>
      </c>
      <c r="E141" s="22">
        <f>IF(AND(A141&lt;=$C$9, C141&gt;0), C141*$C$8, 0)</f>
        <v/>
      </c>
      <c r="F141" s="18">
        <f>IF(AND(A141&lt;=$C$9, C141&gt;0), D141, 0)</f>
        <v/>
      </c>
      <c r="G141" s="22">
        <f>IF(AND(A141&lt;=$C$9, C141&gt;0), MIN(C141, MAX(0, F141-E141)), 0)</f>
        <v/>
      </c>
      <c r="H141" s="23">
        <f>IF(AND(A141&lt;=$C$9, C141&gt;0), MAX(0, C141-G141), 0)</f>
        <v/>
      </c>
      <c r="I141" s="20">
        <f>IF(A141&gt;$C$9, "", IF(C141=0, "Finalizado", IF(F141=0, "Sin Pago", IF(F141&gt;D141+100, "Abono Extra", IF(F141&lt;D141-100, "Pago Parcial", "Al Día")))))</f>
        <v/>
      </c>
    </row>
    <row r="142" ht="20" customHeight="1">
      <c r="A142" s="15" t="n">
        <v>129</v>
      </c>
      <c r="B142" s="16">
        <f>IF(A142&lt;=$C$9, EDATE($C$10, A142), "")</f>
        <v/>
      </c>
      <c r="C142" s="17">
        <f>IF(A142&lt;=$C$9, H141, 0)</f>
        <v/>
      </c>
      <c r="D142" s="17">
        <f>IF(AND(A142&lt;=$C$9, C142&gt;0), $H$5, 0)</f>
        <v/>
      </c>
      <c r="E142" s="17">
        <f>IF(AND(A142&lt;=$C$9, C142&gt;0), C142*$C$8, 0)</f>
        <v/>
      </c>
      <c r="F142" s="18">
        <f>IF(AND(A142&lt;=$C$9, C142&gt;0), D142, 0)</f>
        <v/>
      </c>
      <c r="G142" s="17">
        <f>IF(AND(A142&lt;=$C$9, C142&gt;0), MIN(C142, MAX(0, F142-E142)), 0)</f>
        <v/>
      </c>
      <c r="H142" s="19">
        <f>IF(AND(A142&lt;=$C$9, C142&gt;0), MAX(0, C142-G142), 0)</f>
        <v/>
      </c>
      <c r="I142" s="15">
        <f>IF(A142&gt;$C$9, "", IF(C142=0, "Finalizado", IF(F142=0, "Sin Pago", IF(F142&gt;D142+100, "Abono Extra", IF(F142&lt;D142-100, "Pago Parcial", "Al Día")))))</f>
        <v/>
      </c>
    </row>
    <row r="143" ht="20" customHeight="1">
      <c r="A143" s="20" t="n">
        <v>130</v>
      </c>
      <c r="B143" s="21">
        <f>IF(A143&lt;=$C$9, EDATE($C$10, A143), "")</f>
        <v/>
      </c>
      <c r="C143" s="22">
        <f>IF(A143&lt;=$C$9, H142, 0)</f>
        <v/>
      </c>
      <c r="D143" s="22">
        <f>IF(AND(A143&lt;=$C$9, C143&gt;0), $H$5, 0)</f>
        <v/>
      </c>
      <c r="E143" s="22">
        <f>IF(AND(A143&lt;=$C$9, C143&gt;0), C143*$C$8, 0)</f>
        <v/>
      </c>
      <c r="F143" s="18">
        <f>IF(AND(A143&lt;=$C$9, C143&gt;0), D143, 0)</f>
        <v/>
      </c>
      <c r="G143" s="22">
        <f>IF(AND(A143&lt;=$C$9, C143&gt;0), MIN(C143, MAX(0, F143-E143)), 0)</f>
        <v/>
      </c>
      <c r="H143" s="23">
        <f>IF(AND(A143&lt;=$C$9, C143&gt;0), MAX(0, C143-G143), 0)</f>
        <v/>
      </c>
      <c r="I143" s="20">
        <f>IF(A143&gt;$C$9, "", IF(C143=0, "Finalizado", IF(F143=0, "Sin Pago", IF(F143&gt;D143+100, "Abono Extra", IF(F143&lt;D143-100, "Pago Parcial", "Al Día")))))</f>
        <v/>
      </c>
    </row>
    <row r="144" ht="20" customHeight="1">
      <c r="A144" s="15" t="n">
        <v>131</v>
      </c>
      <c r="B144" s="16">
        <f>IF(A144&lt;=$C$9, EDATE($C$10, A144), "")</f>
        <v/>
      </c>
      <c r="C144" s="17">
        <f>IF(A144&lt;=$C$9, H143, 0)</f>
        <v/>
      </c>
      <c r="D144" s="17">
        <f>IF(AND(A144&lt;=$C$9, C144&gt;0), $H$5, 0)</f>
        <v/>
      </c>
      <c r="E144" s="17">
        <f>IF(AND(A144&lt;=$C$9, C144&gt;0), C144*$C$8, 0)</f>
        <v/>
      </c>
      <c r="F144" s="18">
        <f>IF(AND(A144&lt;=$C$9, C144&gt;0), D144, 0)</f>
        <v/>
      </c>
      <c r="G144" s="17">
        <f>IF(AND(A144&lt;=$C$9, C144&gt;0), MIN(C144, MAX(0, F144-E144)), 0)</f>
        <v/>
      </c>
      <c r="H144" s="19">
        <f>IF(AND(A144&lt;=$C$9, C144&gt;0), MAX(0, C144-G144), 0)</f>
        <v/>
      </c>
      <c r="I144" s="15">
        <f>IF(A144&gt;$C$9, "", IF(C144=0, "Finalizado", IF(F144=0, "Sin Pago", IF(F144&gt;D144+100, "Abono Extra", IF(F144&lt;D144-100, "Pago Parcial", "Al Día")))))</f>
        <v/>
      </c>
    </row>
    <row r="145" ht="20" customHeight="1">
      <c r="A145" s="20" t="n">
        <v>132</v>
      </c>
      <c r="B145" s="21">
        <f>IF(A145&lt;=$C$9, EDATE($C$10, A145), "")</f>
        <v/>
      </c>
      <c r="C145" s="22">
        <f>IF(A145&lt;=$C$9, H144, 0)</f>
        <v/>
      </c>
      <c r="D145" s="22">
        <f>IF(AND(A145&lt;=$C$9, C145&gt;0), $H$5, 0)</f>
        <v/>
      </c>
      <c r="E145" s="22">
        <f>IF(AND(A145&lt;=$C$9, C145&gt;0), C145*$C$8, 0)</f>
        <v/>
      </c>
      <c r="F145" s="18">
        <f>IF(AND(A145&lt;=$C$9, C145&gt;0), D145, 0)</f>
        <v/>
      </c>
      <c r="G145" s="22">
        <f>IF(AND(A145&lt;=$C$9, C145&gt;0), MIN(C145, MAX(0, F145-E145)), 0)</f>
        <v/>
      </c>
      <c r="H145" s="23">
        <f>IF(AND(A145&lt;=$C$9, C145&gt;0), MAX(0, C145-G145), 0)</f>
        <v/>
      </c>
      <c r="I145" s="20">
        <f>IF(A145&gt;$C$9, "", IF(C145=0, "Finalizado", IF(F145=0, "Sin Pago", IF(F145&gt;D145+100, "Abono Extra", IF(F145&lt;D145-100, "Pago Parcial", "Al Día")))))</f>
        <v/>
      </c>
    </row>
    <row r="146" ht="20" customHeight="1">
      <c r="A146" s="15" t="n">
        <v>133</v>
      </c>
      <c r="B146" s="16">
        <f>IF(A146&lt;=$C$9, EDATE($C$10, A146), "")</f>
        <v/>
      </c>
      <c r="C146" s="17">
        <f>IF(A146&lt;=$C$9, H145, 0)</f>
        <v/>
      </c>
      <c r="D146" s="17">
        <f>IF(AND(A146&lt;=$C$9, C146&gt;0), $H$5, 0)</f>
        <v/>
      </c>
      <c r="E146" s="17">
        <f>IF(AND(A146&lt;=$C$9, C146&gt;0), C146*$C$8, 0)</f>
        <v/>
      </c>
      <c r="F146" s="18">
        <f>IF(AND(A146&lt;=$C$9, C146&gt;0), D146, 0)</f>
        <v/>
      </c>
      <c r="G146" s="17">
        <f>IF(AND(A146&lt;=$C$9, C146&gt;0), MIN(C146, MAX(0, F146-E146)), 0)</f>
        <v/>
      </c>
      <c r="H146" s="19">
        <f>IF(AND(A146&lt;=$C$9, C146&gt;0), MAX(0, C146-G146), 0)</f>
        <v/>
      </c>
      <c r="I146" s="15">
        <f>IF(A146&gt;$C$9, "", IF(C146=0, "Finalizado", IF(F146=0, "Sin Pago", IF(F146&gt;D146+100, "Abono Extra", IF(F146&lt;D146-100, "Pago Parcial", "Al Día")))))</f>
        <v/>
      </c>
    </row>
    <row r="147" ht="20" customHeight="1">
      <c r="A147" s="20" t="n">
        <v>134</v>
      </c>
      <c r="B147" s="21">
        <f>IF(A147&lt;=$C$9, EDATE($C$10, A147), "")</f>
        <v/>
      </c>
      <c r="C147" s="22">
        <f>IF(A147&lt;=$C$9, H146, 0)</f>
        <v/>
      </c>
      <c r="D147" s="22">
        <f>IF(AND(A147&lt;=$C$9, C147&gt;0), $H$5, 0)</f>
        <v/>
      </c>
      <c r="E147" s="22">
        <f>IF(AND(A147&lt;=$C$9, C147&gt;0), C147*$C$8, 0)</f>
        <v/>
      </c>
      <c r="F147" s="18">
        <f>IF(AND(A147&lt;=$C$9, C147&gt;0), D147, 0)</f>
        <v/>
      </c>
      <c r="G147" s="22">
        <f>IF(AND(A147&lt;=$C$9, C147&gt;0), MIN(C147, MAX(0, F147-E147)), 0)</f>
        <v/>
      </c>
      <c r="H147" s="23">
        <f>IF(AND(A147&lt;=$C$9, C147&gt;0), MAX(0, C147-G147), 0)</f>
        <v/>
      </c>
      <c r="I147" s="20">
        <f>IF(A147&gt;$C$9, "", IF(C147=0, "Finalizado", IF(F147=0, "Sin Pago", IF(F147&gt;D147+100, "Abono Extra", IF(F147&lt;D147-100, "Pago Parcial", "Al Día")))))</f>
        <v/>
      </c>
    </row>
    <row r="148" ht="20" customHeight="1">
      <c r="A148" s="15" t="n">
        <v>135</v>
      </c>
      <c r="B148" s="16">
        <f>IF(A148&lt;=$C$9, EDATE($C$10, A148), "")</f>
        <v/>
      </c>
      <c r="C148" s="17">
        <f>IF(A148&lt;=$C$9, H147, 0)</f>
        <v/>
      </c>
      <c r="D148" s="17">
        <f>IF(AND(A148&lt;=$C$9, C148&gt;0), $H$5, 0)</f>
        <v/>
      </c>
      <c r="E148" s="17">
        <f>IF(AND(A148&lt;=$C$9, C148&gt;0), C148*$C$8, 0)</f>
        <v/>
      </c>
      <c r="F148" s="18">
        <f>IF(AND(A148&lt;=$C$9, C148&gt;0), D148, 0)</f>
        <v/>
      </c>
      <c r="G148" s="17">
        <f>IF(AND(A148&lt;=$C$9, C148&gt;0), MIN(C148, MAX(0, F148-E148)), 0)</f>
        <v/>
      </c>
      <c r="H148" s="19">
        <f>IF(AND(A148&lt;=$C$9, C148&gt;0), MAX(0, C148-G148), 0)</f>
        <v/>
      </c>
      <c r="I148" s="15">
        <f>IF(A148&gt;$C$9, "", IF(C148=0, "Finalizado", IF(F148=0, "Sin Pago", IF(F148&gt;D148+100, "Abono Extra", IF(F148&lt;D148-100, "Pago Parcial", "Al Día")))))</f>
        <v/>
      </c>
    </row>
    <row r="149" ht="20" customHeight="1">
      <c r="A149" s="20" t="n">
        <v>136</v>
      </c>
      <c r="B149" s="21">
        <f>IF(A149&lt;=$C$9, EDATE($C$10, A149), "")</f>
        <v/>
      </c>
      <c r="C149" s="22">
        <f>IF(A149&lt;=$C$9, H148, 0)</f>
        <v/>
      </c>
      <c r="D149" s="22">
        <f>IF(AND(A149&lt;=$C$9, C149&gt;0), $H$5, 0)</f>
        <v/>
      </c>
      <c r="E149" s="22">
        <f>IF(AND(A149&lt;=$C$9, C149&gt;0), C149*$C$8, 0)</f>
        <v/>
      </c>
      <c r="F149" s="18">
        <f>IF(AND(A149&lt;=$C$9, C149&gt;0), D149, 0)</f>
        <v/>
      </c>
      <c r="G149" s="22">
        <f>IF(AND(A149&lt;=$C$9, C149&gt;0), MIN(C149, MAX(0, F149-E149)), 0)</f>
        <v/>
      </c>
      <c r="H149" s="23">
        <f>IF(AND(A149&lt;=$C$9, C149&gt;0), MAX(0, C149-G149), 0)</f>
        <v/>
      </c>
      <c r="I149" s="20">
        <f>IF(A149&gt;$C$9, "", IF(C149=0, "Finalizado", IF(F149=0, "Sin Pago", IF(F149&gt;D149+100, "Abono Extra", IF(F149&lt;D149-100, "Pago Parcial", "Al Día")))))</f>
        <v/>
      </c>
    </row>
    <row r="150" ht="20" customHeight="1">
      <c r="A150" s="15" t="n">
        <v>137</v>
      </c>
      <c r="B150" s="16">
        <f>IF(A150&lt;=$C$9, EDATE($C$10, A150), "")</f>
        <v/>
      </c>
      <c r="C150" s="17">
        <f>IF(A150&lt;=$C$9, H149, 0)</f>
        <v/>
      </c>
      <c r="D150" s="17">
        <f>IF(AND(A150&lt;=$C$9, C150&gt;0), $H$5, 0)</f>
        <v/>
      </c>
      <c r="E150" s="17">
        <f>IF(AND(A150&lt;=$C$9, C150&gt;0), C150*$C$8, 0)</f>
        <v/>
      </c>
      <c r="F150" s="18">
        <f>IF(AND(A150&lt;=$C$9, C150&gt;0), D150, 0)</f>
        <v/>
      </c>
      <c r="G150" s="17">
        <f>IF(AND(A150&lt;=$C$9, C150&gt;0), MIN(C150, MAX(0, F150-E150)), 0)</f>
        <v/>
      </c>
      <c r="H150" s="19">
        <f>IF(AND(A150&lt;=$C$9, C150&gt;0), MAX(0, C150-G150), 0)</f>
        <v/>
      </c>
      <c r="I150" s="15">
        <f>IF(A150&gt;$C$9, "", IF(C150=0, "Finalizado", IF(F150=0, "Sin Pago", IF(F150&gt;D150+100, "Abono Extra", IF(F150&lt;D150-100, "Pago Parcial", "Al Día")))))</f>
        <v/>
      </c>
    </row>
    <row r="151" ht="20" customHeight="1">
      <c r="A151" s="20" t="n">
        <v>138</v>
      </c>
      <c r="B151" s="21">
        <f>IF(A151&lt;=$C$9, EDATE($C$10, A151), "")</f>
        <v/>
      </c>
      <c r="C151" s="22">
        <f>IF(A151&lt;=$C$9, H150, 0)</f>
        <v/>
      </c>
      <c r="D151" s="22">
        <f>IF(AND(A151&lt;=$C$9, C151&gt;0), $H$5, 0)</f>
        <v/>
      </c>
      <c r="E151" s="22">
        <f>IF(AND(A151&lt;=$C$9, C151&gt;0), C151*$C$8, 0)</f>
        <v/>
      </c>
      <c r="F151" s="18">
        <f>IF(AND(A151&lt;=$C$9, C151&gt;0), D151, 0)</f>
        <v/>
      </c>
      <c r="G151" s="22">
        <f>IF(AND(A151&lt;=$C$9, C151&gt;0), MIN(C151, MAX(0, F151-E151)), 0)</f>
        <v/>
      </c>
      <c r="H151" s="23">
        <f>IF(AND(A151&lt;=$C$9, C151&gt;0), MAX(0, C151-G151), 0)</f>
        <v/>
      </c>
      <c r="I151" s="20">
        <f>IF(A151&gt;$C$9, "", IF(C151=0, "Finalizado", IF(F151=0, "Sin Pago", IF(F151&gt;D151+100, "Abono Extra", IF(F151&lt;D151-100, "Pago Parcial", "Al Día")))))</f>
        <v/>
      </c>
    </row>
    <row r="152" ht="20" customHeight="1">
      <c r="A152" s="15" t="n">
        <v>139</v>
      </c>
      <c r="B152" s="16">
        <f>IF(A152&lt;=$C$9, EDATE($C$10, A152), "")</f>
        <v/>
      </c>
      <c r="C152" s="17">
        <f>IF(A152&lt;=$C$9, H151, 0)</f>
        <v/>
      </c>
      <c r="D152" s="17">
        <f>IF(AND(A152&lt;=$C$9, C152&gt;0), $H$5, 0)</f>
        <v/>
      </c>
      <c r="E152" s="17">
        <f>IF(AND(A152&lt;=$C$9, C152&gt;0), C152*$C$8, 0)</f>
        <v/>
      </c>
      <c r="F152" s="18">
        <f>IF(AND(A152&lt;=$C$9, C152&gt;0), D152, 0)</f>
        <v/>
      </c>
      <c r="G152" s="17">
        <f>IF(AND(A152&lt;=$C$9, C152&gt;0), MIN(C152, MAX(0, F152-E152)), 0)</f>
        <v/>
      </c>
      <c r="H152" s="19">
        <f>IF(AND(A152&lt;=$C$9, C152&gt;0), MAX(0, C152-G152), 0)</f>
        <v/>
      </c>
      <c r="I152" s="15">
        <f>IF(A152&gt;$C$9, "", IF(C152=0, "Finalizado", IF(F152=0, "Sin Pago", IF(F152&gt;D152+100, "Abono Extra", IF(F152&lt;D152-100, "Pago Parcial", "Al Día")))))</f>
        <v/>
      </c>
    </row>
    <row r="153" ht="20" customHeight="1">
      <c r="A153" s="20" t="n">
        <v>140</v>
      </c>
      <c r="B153" s="21">
        <f>IF(A153&lt;=$C$9, EDATE($C$10, A153), "")</f>
        <v/>
      </c>
      <c r="C153" s="22">
        <f>IF(A153&lt;=$C$9, H152, 0)</f>
        <v/>
      </c>
      <c r="D153" s="22">
        <f>IF(AND(A153&lt;=$C$9, C153&gt;0), $H$5, 0)</f>
        <v/>
      </c>
      <c r="E153" s="22">
        <f>IF(AND(A153&lt;=$C$9, C153&gt;0), C153*$C$8, 0)</f>
        <v/>
      </c>
      <c r="F153" s="18">
        <f>IF(AND(A153&lt;=$C$9, C153&gt;0), D153, 0)</f>
        <v/>
      </c>
      <c r="G153" s="22">
        <f>IF(AND(A153&lt;=$C$9, C153&gt;0), MIN(C153, MAX(0, F153-E153)), 0)</f>
        <v/>
      </c>
      <c r="H153" s="23">
        <f>IF(AND(A153&lt;=$C$9, C153&gt;0), MAX(0, C153-G153), 0)</f>
        <v/>
      </c>
      <c r="I153" s="20">
        <f>IF(A153&gt;$C$9, "", IF(C153=0, "Finalizado", IF(F153=0, "Sin Pago", IF(F153&gt;D153+100, "Abono Extra", IF(F153&lt;D153-100, "Pago Parcial", "Al Día")))))</f>
        <v/>
      </c>
    </row>
    <row r="154" ht="20" customHeight="1">
      <c r="A154" s="15" t="n">
        <v>141</v>
      </c>
      <c r="B154" s="16">
        <f>IF(A154&lt;=$C$9, EDATE($C$10, A154), "")</f>
        <v/>
      </c>
      <c r="C154" s="17">
        <f>IF(A154&lt;=$C$9, H153, 0)</f>
        <v/>
      </c>
      <c r="D154" s="17">
        <f>IF(AND(A154&lt;=$C$9, C154&gt;0), $H$5, 0)</f>
        <v/>
      </c>
      <c r="E154" s="17">
        <f>IF(AND(A154&lt;=$C$9, C154&gt;0), C154*$C$8, 0)</f>
        <v/>
      </c>
      <c r="F154" s="18">
        <f>IF(AND(A154&lt;=$C$9, C154&gt;0), D154, 0)</f>
        <v/>
      </c>
      <c r="G154" s="17">
        <f>IF(AND(A154&lt;=$C$9, C154&gt;0), MIN(C154, MAX(0, F154-E154)), 0)</f>
        <v/>
      </c>
      <c r="H154" s="19">
        <f>IF(AND(A154&lt;=$C$9, C154&gt;0), MAX(0, C154-G154), 0)</f>
        <v/>
      </c>
      <c r="I154" s="15">
        <f>IF(A154&gt;$C$9, "", IF(C154=0, "Finalizado", IF(F154=0, "Sin Pago", IF(F154&gt;D154+100, "Abono Extra", IF(F154&lt;D154-100, "Pago Parcial", "Al Día")))))</f>
        <v/>
      </c>
    </row>
    <row r="155" ht="20" customHeight="1">
      <c r="A155" s="20" t="n">
        <v>142</v>
      </c>
      <c r="B155" s="21">
        <f>IF(A155&lt;=$C$9, EDATE($C$10, A155), "")</f>
        <v/>
      </c>
      <c r="C155" s="22">
        <f>IF(A155&lt;=$C$9, H154, 0)</f>
        <v/>
      </c>
      <c r="D155" s="22">
        <f>IF(AND(A155&lt;=$C$9, C155&gt;0), $H$5, 0)</f>
        <v/>
      </c>
      <c r="E155" s="22">
        <f>IF(AND(A155&lt;=$C$9, C155&gt;0), C155*$C$8, 0)</f>
        <v/>
      </c>
      <c r="F155" s="18">
        <f>IF(AND(A155&lt;=$C$9, C155&gt;0), D155, 0)</f>
        <v/>
      </c>
      <c r="G155" s="22">
        <f>IF(AND(A155&lt;=$C$9, C155&gt;0), MIN(C155, MAX(0, F155-E155)), 0)</f>
        <v/>
      </c>
      <c r="H155" s="23">
        <f>IF(AND(A155&lt;=$C$9, C155&gt;0), MAX(0, C155-G155), 0)</f>
        <v/>
      </c>
      <c r="I155" s="20">
        <f>IF(A155&gt;$C$9, "", IF(C155=0, "Finalizado", IF(F155=0, "Sin Pago", IF(F155&gt;D155+100, "Abono Extra", IF(F155&lt;D155-100, "Pago Parcial", "Al Día")))))</f>
        <v/>
      </c>
    </row>
    <row r="156" ht="20" customHeight="1">
      <c r="A156" s="15" t="n">
        <v>143</v>
      </c>
      <c r="B156" s="16">
        <f>IF(A156&lt;=$C$9, EDATE($C$10, A156), "")</f>
        <v/>
      </c>
      <c r="C156" s="17">
        <f>IF(A156&lt;=$C$9, H155, 0)</f>
        <v/>
      </c>
      <c r="D156" s="17">
        <f>IF(AND(A156&lt;=$C$9, C156&gt;0), $H$5, 0)</f>
        <v/>
      </c>
      <c r="E156" s="17">
        <f>IF(AND(A156&lt;=$C$9, C156&gt;0), C156*$C$8, 0)</f>
        <v/>
      </c>
      <c r="F156" s="18">
        <f>IF(AND(A156&lt;=$C$9, C156&gt;0), D156, 0)</f>
        <v/>
      </c>
      <c r="G156" s="17">
        <f>IF(AND(A156&lt;=$C$9, C156&gt;0), MIN(C156, MAX(0, F156-E156)), 0)</f>
        <v/>
      </c>
      <c r="H156" s="19">
        <f>IF(AND(A156&lt;=$C$9, C156&gt;0), MAX(0, C156-G156), 0)</f>
        <v/>
      </c>
      <c r="I156" s="15">
        <f>IF(A156&gt;$C$9, "", IF(C156=0, "Finalizado", IF(F156=0, "Sin Pago", IF(F156&gt;D156+100, "Abono Extra", IF(F156&lt;D156-100, "Pago Parcial", "Al Día")))))</f>
        <v/>
      </c>
    </row>
    <row r="157" ht="20" customHeight="1">
      <c r="A157" s="20" t="n">
        <v>144</v>
      </c>
      <c r="B157" s="21">
        <f>IF(A157&lt;=$C$9, EDATE($C$10, A157), "")</f>
        <v/>
      </c>
      <c r="C157" s="22">
        <f>IF(A157&lt;=$C$9, H156, 0)</f>
        <v/>
      </c>
      <c r="D157" s="22">
        <f>IF(AND(A157&lt;=$C$9, C157&gt;0), $H$5, 0)</f>
        <v/>
      </c>
      <c r="E157" s="22">
        <f>IF(AND(A157&lt;=$C$9, C157&gt;0), C157*$C$8, 0)</f>
        <v/>
      </c>
      <c r="F157" s="18">
        <f>IF(AND(A157&lt;=$C$9, C157&gt;0), D157, 0)</f>
        <v/>
      </c>
      <c r="G157" s="22">
        <f>IF(AND(A157&lt;=$C$9, C157&gt;0), MIN(C157, MAX(0, F157-E157)), 0)</f>
        <v/>
      </c>
      <c r="H157" s="23">
        <f>IF(AND(A157&lt;=$C$9, C157&gt;0), MAX(0, C157-G157), 0)</f>
        <v/>
      </c>
      <c r="I157" s="20">
        <f>IF(A157&gt;$C$9, "", IF(C157=0, "Finalizado", IF(F157=0, "Sin Pago", IF(F157&gt;D157+100, "Abono Extra", IF(F157&lt;D157-100, "Pago Parcial", "Al Día")))))</f>
        <v/>
      </c>
    </row>
    <row r="158" ht="20" customHeight="1">
      <c r="A158" s="15" t="n">
        <v>145</v>
      </c>
      <c r="B158" s="16">
        <f>IF(A158&lt;=$C$9, EDATE($C$10, A158), "")</f>
        <v/>
      </c>
      <c r="C158" s="17">
        <f>IF(A158&lt;=$C$9, H157, 0)</f>
        <v/>
      </c>
      <c r="D158" s="17">
        <f>IF(AND(A158&lt;=$C$9, C158&gt;0), $H$5, 0)</f>
        <v/>
      </c>
      <c r="E158" s="17">
        <f>IF(AND(A158&lt;=$C$9, C158&gt;0), C158*$C$8, 0)</f>
        <v/>
      </c>
      <c r="F158" s="18">
        <f>IF(AND(A158&lt;=$C$9, C158&gt;0), D158, 0)</f>
        <v/>
      </c>
      <c r="G158" s="17">
        <f>IF(AND(A158&lt;=$C$9, C158&gt;0), MIN(C158, MAX(0, F158-E158)), 0)</f>
        <v/>
      </c>
      <c r="H158" s="19">
        <f>IF(AND(A158&lt;=$C$9, C158&gt;0), MAX(0, C158-G158), 0)</f>
        <v/>
      </c>
      <c r="I158" s="15">
        <f>IF(A158&gt;$C$9, "", IF(C158=0, "Finalizado", IF(F158=0, "Sin Pago", IF(F158&gt;D158+100, "Abono Extra", IF(F158&lt;D158-100, "Pago Parcial", "Al Día")))))</f>
        <v/>
      </c>
    </row>
    <row r="159" ht="20" customHeight="1">
      <c r="A159" s="20" t="n">
        <v>146</v>
      </c>
      <c r="B159" s="21">
        <f>IF(A159&lt;=$C$9, EDATE($C$10, A159), "")</f>
        <v/>
      </c>
      <c r="C159" s="22">
        <f>IF(A159&lt;=$C$9, H158, 0)</f>
        <v/>
      </c>
      <c r="D159" s="22">
        <f>IF(AND(A159&lt;=$C$9, C159&gt;0), $H$5, 0)</f>
        <v/>
      </c>
      <c r="E159" s="22">
        <f>IF(AND(A159&lt;=$C$9, C159&gt;0), C159*$C$8, 0)</f>
        <v/>
      </c>
      <c r="F159" s="18">
        <f>IF(AND(A159&lt;=$C$9, C159&gt;0), D159, 0)</f>
        <v/>
      </c>
      <c r="G159" s="22">
        <f>IF(AND(A159&lt;=$C$9, C159&gt;0), MIN(C159, MAX(0, F159-E159)), 0)</f>
        <v/>
      </c>
      <c r="H159" s="23">
        <f>IF(AND(A159&lt;=$C$9, C159&gt;0), MAX(0, C159-G159), 0)</f>
        <v/>
      </c>
      <c r="I159" s="20">
        <f>IF(A159&gt;$C$9, "", IF(C159=0, "Finalizado", IF(F159=0, "Sin Pago", IF(F159&gt;D159+100, "Abono Extra", IF(F159&lt;D159-100, "Pago Parcial", "Al Día")))))</f>
        <v/>
      </c>
    </row>
    <row r="160" ht="20" customHeight="1">
      <c r="A160" s="15" t="n">
        <v>147</v>
      </c>
      <c r="B160" s="16">
        <f>IF(A160&lt;=$C$9, EDATE($C$10, A160), "")</f>
        <v/>
      </c>
      <c r="C160" s="17">
        <f>IF(A160&lt;=$C$9, H159, 0)</f>
        <v/>
      </c>
      <c r="D160" s="17">
        <f>IF(AND(A160&lt;=$C$9, C160&gt;0), $H$5, 0)</f>
        <v/>
      </c>
      <c r="E160" s="17">
        <f>IF(AND(A160&lt;=$C$9, C160&gt;0), C160*$C$8, 0)</f>
        <v/>
      </c>
      <c r="F160" s="18">
        <f>IF(AND(A160&lt;=$C$9, C160&gt;0), D160, 0)</f>
        <v/>
      </c>
      <c r="G160" s="17">
        <f>IF(AND(A160&lt;=$C$9, C160&gt;0), MIN(C160, MAX(0, F160-E160)), 0)</f>
        <v/>
      </c>
      <c r="H160" s="19">
        <f>IF(AND(A160&lt;=$C$9, C160&gt;0), MAX(0, C160-G160), 0)</f>
        <v/>
      </c>
      <c r="I160" s="15">
        <f>IF(A160&gt;$C$9, "", IF(C160=0, "Finalizado", IF(F160=0, "Sin Pago", IF(F160&gt;D160+100, "Abono Extra", IF(F160&lt;D160-100, "Pago Parcial", "Al Día")))))</f>
        <v/>
      </c>
    </row>
    <row r="161" ht="20" customHeight="1">
      <c r="A161" s="20" t="n">
        <v>148</v>
      </c>
      <c r="B161" s="21">
        <f>IF(A161&lt;=$C$9, EDATE($C$10, A161), "")</f>
        <v/>
      </c>
      <c r="C161" s="22">
        <f>IF(A161&lt;=$C$9, H160, 0)</f>
        <v/>
      </c>
      <c r="D161" s="22">
        <f>IF(AND(A161&lt;=$C$9, C161&gt;0), $H$5, 0)</f>
        <v/>
      </c>
      <c r="E161" s="22">
        <f>IF(AND(A161&lt;=$C$9, C161&gt;0), C161*$C$8, 0)</f>
        <v/>
      </c>
      <c r="F161" s="18">
        <f>IF(AND(A161&lt;=$C$9, C161&gt;0), D161, 0)</f>
        <v/>
      </c>
      <c r="G161" s="22">
        <f>IF(AND(A161&lt;=$C$9, C161&gt;0), MIN(C161, MAX(0, F161-E161)), 0)</f>
        <v/>
      </c>
      <c r="H161" s="23">
        <f>IF(AND(A161&lt;=$C$9, C161&gt;0), MAX(0, C161-G161), 0)</f>
        <v/>
      </c>
      <c r="I161" s="20">
        <f>IF(A161&gt;$C$9, "", IF(C161=0, "Finalizado", IF(F161=0, "Sin Pago", IF(F161&gt;D161+100, "Abono Extra", IF(F161&lt;D161-100, "Pago Parcial", "Al Día")))))</f>
        <v/>
      </c>
    </row>
    <row r="162" ht="20" customHeight="1">
      <c r="A162" s="15" t="n">
        <v>149</v>
      </c>
      <c r="B162" s="16">
        <f>IF(A162&lt;=$C$9, EDATE($C$10, A162), "")</f>
        <v/>
      </c>
      <c r="C162" s="17">
        <f>IF(A162&lt;=$C$9, H161, 0)</f>
        <v/>
      </c>
      <c r="D162" s="17">
        <f>IF(AND(A162&lt;=$C$9, C162&gt;0), $H$5, 0)</f>
        <v/>
      </c>
      <c r="E162" s="17">
        <f>IF(AND(A162&lt;=$C$9, C162&gt;0), C162*$C$8, 0)</f>
        <v/>
      </c>
      <c r="F162" s="18">
        <f>IF(AND(A162&lt;=$C$9, C162&gt;0), D162, 0)</f>
        <v/>
      </c>
      <c r="G162" s="17">
        <f>IF(AND(A162&lt;=$C$9, C162&gt;0), MIN(C162, MAX(0, F162-E162)), 0)</f>
        <v/>
      </c>
      <c r="H162" s="19">
        <f>IF(AND(A162&lt;=$C$9, C162&gt;0), MAX(0, C162-G162), 0)</f>
        <v/>
      </c>
      <c r="I162" s="15">
        <f>IF(A162&gt;$C$9, "", IF(C162=0, "Finalizado", IF(F162=0, "Sin Pago", IF(F162&gt;D162+100, "Abono Extra", IF(F162&lt;D162-100, "Pago Parcial", "Al Día")))))</f>
        <v/>
      </c>
    </row>
    <row r="163" ht="20" customHeight="1">
      <c r="A163" s="20" t="n">
        <v>150</v>
      </c>
      <c r="B163" s="21">
        <f>IF(A163&lt;=$C$9, EDATE($C$10, A163), "")</f>
        <v/>
      </c>
      <c r="C163" s="22">
        <f>IF(A163&lt;=$C$9, H162, 0)</f>
        <v/>
      </c>
      <c r="D163" s="22">
        <f>IF(AND(A163&lt;=$C$9, C163&gt;0), $H$5, 0)</f>
        <v/>
      </c>
      <c r="E163" s="22">
        <f>IF(AND(A163&lt;=$C$9, C163&gt;0), C163*$C$8, 0)</f>
        <v/>
      </c>
      <c r="F163" s="18">
        <f>IF(AND(A163&lt;=$C$9, C163&gt;0), D163, 0)</f>
        <v/>
      </c>
      <c r="G163" s="22">
        <f>IF(AND(A163&lt;=$C$9, C163&gt;0), MIN(C163, MAX(0, F163-E163)), 0)</f>
        <v/>
      </c>
      <c r="H163" s="23">
        <f>IF(AND(A163&lt;=$C$9, C163&gt;0), MAX(0, C163-G163), 0)</f>
        <v/>
      </c>
      <c r="I163" s="20">
        <f>IF(A163&gt;$C$9, "", IF(C163=0, "Finalizado", IF(F163=0, "Sin Pago", IF(F163&gt;D163+100, "Abono Extra", IF(F163&lt;D163-100, "Pago Parcial", "Al Día")))))</f>
        <v/>
      </c>
    </row>
    <row r="164" ht="20" customHeight="1">
      <c r="A164" s="15" t="n">
        <v>151</v>
      </c>
      <c r="B164" s="16">
        <f>IF(A164&lt;=$C$9, EDATE($C$10, A164), "")</f>
        <v/>
      </c>
      <c r="C164" s="17">
        <f>IF(A164&lt;=$C$9, H163, 0)</f>
        <v/>
      </c>
      <c r="D164" s="17">
        <f>IF(AND(A164&lt;=$C$9, C164&gt;0), $H$5, 0)</f>
        <v/>
      </c>
      <c r="E164" s="17">
        <f>IF(AND(A164&lt;=$C$9, C164&gt;0), C164*$C$8, 0)</f>
        <v/>
      </c>
      <c r="F164" s="18">
        <f>IF(AND(A164&lt;=$C$9, C164&gt;0), D164, 0)</f>
        <v/>
      </c>
      <c r="G164" s="17">
        <f>IF(AND(A164&lt;=$C$9, C164&gt;0), MIN(C164, MAX(0, F164-E164)), 0)</f>
        <v/>
      </c>
      <c r="H164" s="19">
        <f>IF(AND(A164&lt;=$C$9, C164&gt;0), MAX(0, C164-G164), 0)</f>
        <v/>
      </c>
      <c r="I164" s="15">
        <f>IF(A164&gt;$C$9, "", IF(C164=0, "Finalizado", IF(F164=0, "Sin Pago", IF(F164&gt;D164+100, "Abono Extra", IF(F164&lt;D164-100, "Pago Parcial", "Al Día")))))</f>
        <v/>
      </c>
    </row>
    <row r="165" ht="20" customHeight="1">
      <c r="A165" s="20" t="n">
        <v>152</v>
      </c>
      <c r="B165" s="21">
        <f>IF(A165&lt;=$C$9, EDATE($C$10, A165), "")</f>
        <v/>
      </c>
      <c r="C165" s="22">
        <f>IF(A165&lt;=$C$9, H164, 0)</f>
        <v/>
      </c>
      <c r="D165" s="22">
        <f>IF(AND(A165&lt;=$C$9, C165&gt;0), $H$5, 0)</f>
        <v/>
      </c>
      <c r="E165" s="22">
        <f>IF(AND(A165&lt;=$C$9, C165&gt;0), C165*$C$8, 0)</f>
        <v/>
      </c>
      <c r="F165" s="18">
        <f>IF(AND(A165&lt;=$C$9, C165&gt;0), D165, 0)</f>
        <v/>
      </c>
      <c r="G165" s="22">
        <f>IF(AND(A165&lt;=$C$9, C165&gt;0), MIN(C165, MAX(0, F165-E165)), 0)</f>
        <v/>
      </c>
      <c r="H165" s="23">
        <f>IF(AND(A165&lt;=$C$9, C165&gt;0), MAX(0, C165-G165), 0)</f>
        <v/>
      </c>
      <c r="I165" s="20">
        <f>IF(A165&gt;$C$9, "", IF(C165=0, "Finalizado", IF(F165=0, "Sin Pago", IF(F165&gt;D165+100, "Abono Extra", IF(F165&lt;D165-100, "Pago Parcial", "Al Día")))))</f>
        <v/>
      </c>
    </row>
    <row r="166" ht="20" customHeight="1">
      <c r="A166" s="15" t="n">
        <v>153</v>
      </c>
      <c r="B166" s="16">
        <f>IF(A166&lt;=$C$9, EDATE($C$10, A166), "")</f>
        <v/>
      </c>
      <c r="C166" s="17">
        <f>IF(A166&lt;=$C$9, H165, 0)</f>
        <v/>
      </c>
      <c r="D166" s="17">
        <f>IF(AND(A166&lt;=$C$9, C166&gt;0), $H$5, 0)</f>
        <v/>
      </c>
      <c r="E166" s="17">
        <f>IF(AND(A166&lt;=$C$9, C166&gt;0), C166*$C$8, 0)</f>
        <v/>
      </c>
      <c r="F166" s="18">
        <f>IF(AND(A166&lt;=$C$9, C166&gt;0), D166, 0)</f>
        <v/>
      </c>
      <c r="G166" s="17">
        <f>IF(AND(A166&lt;=$C$9, C166&gt;0), MIN(C166, MAX(0, F166-E166)), 0)</f>
        <v/>
      </c>
      <c r="H166" s="19">
        <f>IF(AND(A166&lt;=$C$9, C166&gt;0), MAX(0, C166-G166), 0)</f>
        <v/>
      </c>
      <c r="I166" s="15">
        <f>IF(A166&gt;$C$9, "", IF(C166=0, "Finalizado", IF(F166=0, "Sin Pago", IF(F166&gt;D166+100, "Abono Extra", IF(F166&lt;D166-100, "Pago Parcial", "Al Día")))))</f>
        <v/>
      </c>
    </row>
    <row r="167" ht="20" customHeight="1">
      <c r="A167" s="20" t="n">
        <v>154</v>
      </c>
      <c r="B167" s="21">
        <f>IF(A167&lt;=$C$9, EDATE($C$10, A167), "")</f>
        <v/>
      </c>
      <c r="C167" s="22">
        <f>IF(A167&lt;=$C$9, H166, 0)</f>
        <v/>
      </c>
      <c r="D167" s="22">
        <f>IF(AND(A167&lt;=$C$9, C167&gt;0), $H$5, 0)</f>
        <v/>
      </c>
      <c r="E167" s="22">
        <f>IF(AND(A167&lt;=$C$9, C167&gt;0), C167*$C$8, 0)</f>
        <v/>
      </c>
      <c r="F167" s="18">
        <f>IF(AND(A167&lt;=$C$9, C167&gt;0), D167, 0)</f>
        <v/>
      </c>
      <c r="G167" s="22">
        <f>IF(AND(A167&lt;=$C$9, C167&gt;0), MIN(C167, MAX(0, F167-E167)), 0)</f>
        <v/>
      </c>
      <c r="H167" s="23">
        <f>IF(AND(A167&lt;=$C$9, C167&gt;0), MAX(0, C167-G167), 0)</f>
        <v/>
      </c>
      <c r="I167" s="20">
        <f>IF(A167&gt;$C$9, "", IF(C167=0, "Finalizado", IF(F167=0, "Sin Pago", IF(F167&gt;D167+100, "Abono Extra", IF(F167&lt;D167-100, "Pago Parcial", "Al Día")))))</f>
        <v/>
      </c>
    </row>
    <row r="168" ht="20" customHeight="1">
      <c r="A168" s="15" t="n">
        <v>155</v>
      </c>
      <c r="B168" s="16">
        <f>IF(A168&lt;=$C$9, EDATE($C$10, A168), "")</f>
        <v/>
      </c>
      <c r="C168" s="17">
        <f>IF(A168&lt;=$C$9, H167, 0)</f>
        <v/>
      </c>
      <c r="D168" s="17">
        <f>IF(AND(A168&lt;=$C$9, C168&gt;0), $H$5, 0)</f>
        <v/>
      </c>
      <c r="E168" s="17">
        <f>IF(AND(A168&lt;=$C$9, C168&gt;0), C168*$C$8, 0)</f>
        <v/>
      </c>
      <c r="F168" s="18">
        <f>IF(AND(A168&lt;=$C$9, C168&gt;0), D168, 0)</f>
        <v/>
      </c>
      <c r="G168" s="17">
        <f>IF(AND(A168&lt;=$C$9, C168&gt;0), MIN(C168, MAX(0, F168-E168)), 0)</f>
        <v/>
      </c>
      <c r="H168" s="19">
        <f>IF(AND(A168&lt;=$C$9, C168&gt;0), MAX(0, C168-G168), 0)</f>
        <v/>
      </c>
      <c r="I168" s="15">
        <f>IF(A168&gt;$C$9, "", IF(C168=0, "Finalizado", IF(F168=0, "Sin Pago", IF(F168&gt;D168+100, "Abono Extra", IF(F168&lt;D168-100, "Pago Parcial", "Al Día")))))</f>
        <v/>
      </c>
    </row>
    <row r="169" ht="20" customHeight="1">
      <c r="A169" s="20" t="n">
        <v>156</v>
      </c>
      <c r="B169" s="21">
        <f>IF(A169&lt;=$C$9, EDATE($C$10, A169), "")</f>
        <v/>
      </c>
      <c r="C169" s="22">
        <f>IF(A169&lt;=$C$9, H168, 0)</f>
        <v/>
      </c>
      <c r="D169" s="22">
        <f>IF(AND(A169&lt;=$C$9, C169&gt;0), $H$5, 0)</f>
        <v/>
      </c>
      <c r="E169" s="22">
        <f>IF(AND(A169&lt;=$C$9, C169&gt;0), C169*$C$8, 0)</f>
        <v/>
      </c>
      <c r="F169" s="18">
        <f>IF(AND(A169&lt;=$C$9, C169&gt;0), D169, 0)</f>
        <v/>
      </c>
      <c r="G169" s="22">
        <f>IF(AND(A169&lt;=$C$9, C169&gt;0), MIN(C169, MAX(0, F169-E169)), 0)</f>
        <v/>
      </c>
      <c r="H169" s="23">
        <f>IF(AND(A169&lt;=$C$9, C169&gt;0), MAX(0, C169-G169), 0)</f>
        <v/>
      </c>
      <c r="I169" s="20">
        <f>IF(A169&gt;$C$9, "", IF(C169=0, "Finalizado", IF(F169=0, "Sin Pago", IF(F169&gt;D169+100, "Abono Extra", IF(F169&lt;D169-100, "Pago Parcial", "Al Día")))))</f>
        <v/>
      </c>
    </row>
    <row r="170" ht="20" customHeight="1">
      <c r="A170" s="15" t="n">
        <v>157</v>
      </c>
      <c r="B170" s="16">
        <f>IF(A170&lt;=$C$9, EDATE($C$10, A170), "")</f>
        <v/>
      </c>
      <c r="C170" s="17">
        <f>IF(A170&lt;=$C$9, H169, 0)</f>
        <v/>
      </c>
      <c r="D170" s="17">
        <f>IF(AND(A170&lt;=$C$9, C170&gt;0), $H$5, 0)</f>
        <v/>
      </c>
      <c r="E170" s="17">
        <f>IF(AND(A170&lt;=$C$9, C170&gt;0), C170*$C$8, 0)</f>
        <v/>
      </c>
      <c r="F170" s="18">
        <f>IF(AND(A170&lt;=$C$9, C170&gt;0), D170, 0)</f>
        <v/>
      </c>
      <c r="G170" s="17">
        <f>IF(AND(A170&lt;=$C$9, C170&gt;0), MIN(C170, MAX(0, F170-E170)), 0)</f>
        <v/>
      </c>
      <c r="H170" s="19">
        <f>IF(AND(A170&lt;=$C$9, C170&gt;0), MAX(0, C170-G170), 0)</f>
        <v/>
      </c>
      <c r="I170" s="15">
        <f>IF(A170&gt;$C$9, "", IF(C170=0, "Finalizado", IF(F170=0, "Sin Pago", IF(F170&gt;D170+100, "Abono Extra", IF(F170&lt;D170-100, "Pago Parcial", "Al Día")))))</f>
        <v/>
      </c>
    </row>
    <row r="171" ht="20" customHeight="1">
      <c r="A171" s="20" t="n">
        <v>158</v>
      </c>
      <c r="B171" s="21">
        <f>IF(A171&lt;=$C$9, EDATE($C$10, A171), "")</f>
        <v/>
      </c>
      <c r="C171" s="22">
        <f>IF(A171&lt;=$C$9, H170, 0)</f>
        <v/>
      </c>
      <c r="D171" s="22">
        <f>IF(AND(A171&lt;=$C$9, C171&gt;0), $H$5, 0)</f>
        <v/>
      </c>
      <c r="E171" s="22">
        <f>IF(AND(A171&lt;=$C$9, C171&gt;0), C171*$C$8, 0)</f>
        <v/>
      </c>
      <c r="F171" s="18">
        <f>IF(AND(A171&lt;=$C$9, C171&gt;0), D171, 0)</f>
        <v/>
      </c>
      <c r="G171" s="22">
        <f>IF(AND(A171&lt;=$C$9, C171&gt;0), MIN(C171, MAX(0, F171-E171)), 0)</f>
        <v/>
      </c>
      <c r="H171" s="23">
        <f>IF(AND(A171&lt;=$C$9, C171&gt;0), MAX(0, C171-G171), 0)</f>
        <v/>
      </c>
      <c r="I171" s="20">
        <f>IF(A171&gt;$C$9, "", IF(C171=0, "Finalizado", IF(F171=0, "Sin Pago", IF(F171&gt;D171+100, "Abono Extra", IF(F171&lt;D171-100, "Pago Parcial", "Al Día")))))</f>
        <v/>
      </c>
    </row>
    <row r="172" ht="20" customHeight="1">
      <c r="A172" s="15" t="n">
        <v>159</v>
      </c>
      <c r="B172" s="16">
        <f>IF(A172&lt;=$C$9, EDATE($C$10, A172), "")</f>
        <v/>
      </c>
      <c r="C172" s="17">
        <f>IF(A172&lt;=$C$9, H171, 0)</f>
        <v/>
      </c>
      <c r="D172" s="17">
        <f>IF(AND(A172&lt;=$C$9, C172&gt;0), $H$5, 0)</f>
        <v/>
      </c>
      <c r="E172" s="17">
        <f>IF(AND(A172&lt;=$C$9, C172&gt;0), C172*$C$8, 0)</f>
        <v/>
      </c>
      <c r="F172" s="18">
        <f>IF(AND(A172&lt;=$C$9, C172&gt;0), D172, 0)</f>
        <v/>
      </c>
      <c r="G172" s="17">
        <f>IF(AND(A172&lt;=$C$9, C172&gt;0), MIN(C172, MAX(0, F172-E172)), 0)</f>
        <v/>
      </c>
      <c r="H172" s="19">
        <f>IF(AND(A172&lt;=$C$9, C172&gt;0), MAX(0, C172-G172), 0)</f>
        <v/>
      </c>
      <c r="I172" s="15">
        <f>IF(A172&gt;$C$9, "", IF(C172=0, "Finalizado", IF(F172=0, "Sin Pago", IF(F172&gt;D172+100, "Abono Extra", IF(F172&lt;D172-100, "Pago Parcial", "Al Día")))))</f>
        <v/>
      </c>
    </row>
    <row r="173" ht="20" customHeight="1">
      <c r="A173" s="20" t="n">
        <v>160</v>
      </c>
      <c r="B173" s="21">
        <f>IF(A173&lt;=$C$9, EDATE($C$10, A173), "")</f>
        <v/>
      </c>
      <c r="C173" s="22">
        <f>IF(A173&lt;=$C$9, H172, 0)</f>
        <v/>
      </c>
      <c r="D173" s="22">
        <f>IF(AND(A173&lt;=$C$9, C173&gt;0), $H$5, 0)</f>
        <v/>
      </c>
      <c r="E173" s="22">
        <f>IF(AND(A173&lt;=$C$9, C173&gt;0), C173*$C$8, 0)</f>
        <v/>
      </c>
      <c r="F173" s="18">
        <f>IF(AND(A173&lt;=$C$9, C173&gt;0), D173, 0)</f>
        <v/>
      </c>
      <c r="G173" s="22">
        <f>IF(AND(A173&lt;=$C$9, C173&gt;0), MIN(C173, MAX(0, F173-E173)), 0)</f>
        <v/>
      </c>
      <c r="H173" s="23">
        <f>IF(AND(A173&lt;=$C$9, C173&gt;0), MAX(0, C173-G173), 0)</f>
        <v/>
      </c>
      <c r="I173" s="20">
        <f>IF(A173&gt;$C$9, "", IF(C173=0, "Finalizado", IF(F173=0, "Sin Pago", IF(F173&gt;D173+100, "Abono Extra", IF(F173&lt;D173-100, "Pago Parcial", "Al Día")))))</f>
        <v/>
      </c>
    </row>
    <row r="174" ht="20" customHeight="1">
      <c r="A174" s="15" t="n">
        <v>161</v>
      </c>
      <c r="B174" s="16">
        <f>IF(A174&lt;=$C$9, EDATE($C$10, A174), "")</f>
        <v/>
      </c>
      <c r="C174" s="17">
        <f>IF(A174&lt;=$C$9, H173, 0)</f>
        <v/>
      </c>
      <c r="D174" s="17">
        <f>IF(AND(A174&lt;=$C$9, C174&gt;0), $H$5, 0)</f>
        <v/>
      </c>
      <c r="E174" s="17">
        <f>IF(AND(A174&lt;=$C$9, C174&gt;0), C174*$C$8, 0)</f>
        <v/>
      </c>
      <c r="F174" s="18">
        <f>IF(AND(A174&lt;=$C$9, C174&gt;0), D174, 0)</f>
        <v/>
      </c>
      <c r="G174" s="17">
        <f>IF(AND(A174&lt;=$C$9, C174&gt;0), MIN(C174, MAX(0, F174-E174)), 0)</f>
        <v/>
      </c>
      <c r="H174" s="19">
        <f>IF(AND(A174&lt;=$C$9, C174&gt;0), MAX(0, C174-G174), 0)</f>
        <v/>
      </c>
      <c r="I174" s="15">
        <f>IF(A174&gt;$C$9, "", IF(C174=0, "Finalizado", IF(F174=0, "Sin Pago", IF(F174&gt;D174+100, "Abono Extra", IF(F174&lt;D174-100, "Pago Parcial", "Al Día")))))</f>
        <v/>
      </c>
    </row>
    <row r="175" ht="20" customHeight="1">
      <c r="A175" s="20" t="n">
        <v>162</v>
      </c>
      <c r="B175" s="21">
        <f>IF(A175&lt;=$C$9, EDATE($C$10, A175), "")</f>
        <v/>
      </c>
      <c r="C175" s="22">
        <f>IF(A175&lt;=$C$9, H174, 0)</f>
        <v/>
      </c>
      <c r="D175" s="22">
        <f>IF(AND(A175&lt;=$C$9, C175&gt;0), $H$5, 0)</f>
        <v/>
      </c>
      <c r="E175" s="22">
        <f>IF(AND(A175&lt;=$C$9, C175&gt;0), C175*$C$8, 0)</f>
        <v/>
      </c>
      <c r="F175" s="18">
        <f>IF(AND(A175&lt;=$C$9, C175&gt;0), D175, 0)</f>
        <v/>
      </c>
      <c r="G175" s="22">
        <f>IF(AND(A175&lt;=$C$9, C175&gt;0), MIN(C175, MAX(0, F175-E175)), 0)</f>
        <v/>
      </c>
      <c r="H175" s="23">
        <f>IF(AND(A175&lt;=$C$9, C175&gt;0), MAX(0, C175-G175), 0)</f>
        <v/>
      </c>
      <c r="I175" s="20">
        <f>IF(A175&gt;$C$9, "", IF(C175=0, "Finalizado", IF(F175=0, "Sin Pago", IF(F175&gt;D175+100, "Abono Extra", IF(F175&lt;D175-100, "Pago Parcial", "Al Día")))))</f>
        <v/>
      </c>
    </row>
    <row r="176" ht="20" customHeight="1">
      <c r="A176" s="15" t="n">
        <v>163</v>
      </c>
      <c r="B176" s="16">
        <f>IF(A176&lt;=$C$9, EDATE($C$10, A176), "")</f>
        <v/>
      </c>
      <c r="C176" s="17">
        <f>IF(A176&lt;=$C$9, H175, 0)</f>
        <v/>
      </c>
      <c r="D176" s="17">
        <f>IF(AND(A176&lt;=$C$9, C176&gt;0), $H$5, 0)</f>
        <v/>
      </c>
      <c r="E176" s="17">
        <f>IF(AND(A176&lt;=$C$9, C176&gt;0), C176*$C$8, 0)</f>
        <v/>
      </c>
      <c r="F176" s="18">
        <f>IF(AND(A176&lt;=$C$9, C176&gt;0), D176, 0)</f>
        <v/>
      </c>
      <c r="G176" s="17">
        <f>IF(AND(A176&lt;=$C$9, C176&gt;0), MIN(C176, MAX(0, F176-E176)), 0)</f>
        <v/>
      </c>
      <c r="H176" s="19">
        <f>IF(AND(A176&lt;=$C$9, C176&gt;0), MAX(0, C176-G176), 0)</f>
        <v/>
      </c>
      <c r="I176" s="15">
        <f>IF(A176&gt;$C$9, "", IF(C176=0, "Finalizado", IF(F176=0, "Sin Pago", IF(F176&gt;D176+100, "Abono Extra", IF(F176&lt;D176-100, "Pago Parcial", "Al Día")))))</f>
        <v/>
      </c>
    </row>
    <row r="177" ht="20" customHeight="1">
      <c r="A177" s="20" t="n">
        <v>164</v>
      </c>
      <c r="B177" s="21">
        <f>IF(A177&lt;=$C$9, EDATE($C$10, A177), "")</f>
        <v/>
      </c>
      <c r="C177" s="22">
        <f>IF(A177&lt;=$C$9, H176, 0)</f>
        <v/>
      </c>
      <c r="D177" s="22">
        <f>IF(AND(A177&lt;=$C$9, C177&gt;0), $H$5, 0)</f>
        <v/>
      </c>
      <c r="E177" s="22">
        <f>IF(AND(A177&lt;=$C$9, C177&gt;0), C177*$C$8, 0)</f>
        <v/>
      </c>
      <c r="F177" s="18">
        <f>IF(AND(A177&lt;=$C$9, C177&gt;0), D177, 0)</f>
        <v/>
      </c>
      <c r="G177" s="22">
        <f>IF(AND(A177&lt;=$C$9, C177&gt;0), MIN(C177, MAX(0, F177-E177)), 0)</f>
        <v/>
      </c>
      <c r="H177" s="23">
        <f>IF(AND(A177&lt;=$C$9, C177&gt;0), MAX(0, C177-G177), 0)</f>
        <v/>
      </c>
      <c r="I177" s="20">
        <f>IF(A177&gt;$C$9, "", IF(C177=0, "Finalizado", IF(F177=0, "Sin Pago", IF(F177&gt;D177+100, "Abono Extra", IF(F177&lt;D177-100, "Pago Parcial", "Al Día")))))</f>
        <v/>
      </c>
    </row>
    <row r="178" ht="20" customHeight="1">
      <c r="A178" s="15" t="n">
        <v>165</v>
      </c>
      <c r="B178" s="16">
        <f>IF(A178&lt;=$C$9, EDATE($C$10, A178), "")</f>
        <v/>
      </c>
      <c r="C178" s="17">
        <f>IF(A178&lt;=$C$9, H177, 0)</f>
        <v/>
      </c>
      <c r="D178" s="17">
        <f>IF(AND(A178&lt;=$C$9, C178&gt;0), $H$5, 0)</f>
        <v/>
      </c>
      <c r="E178" s="17">
        <f>IF(AND(A178&lt;=$C$9, C178&gt;0), C178*$C$8, 0)</f>
        <v/>
      </c>
      <c r="F178" s="18">
        <f>IF(AND(A178&lt;=$C$9, C178&gt;0), D178, 0)</f>
        <v/>
      </c>
      <c r="G178" s="17">
        <f>IF(AND(A178&lt;=$C$9, C178&gt;0), MIN(C178, MAX(0, F178-E178)), 0)</f>
        <v/>
      </c>
      <c r="H178" s="19">
        <f>IF(AND(A178&lt;=$C$9, C178&gt;0), MAX(0, C178-G178), 0)</f>
        <v/>
      </c>
      <c r="I178" s="15">
        <f>IF(A178&gt;$C$9, "", IF(C178=0, "Finalizado", IF(F178=0, "Sin Pago", IF(F178&gt;D178+100, "Abono Extra", IF(F178&lt;D178-100, "Pago Parcial", "Al Día")))))</f>
        <v/>
      </c>
    </row>
    <row r="179" ht="20" customHeight="1">
      <c r="A179" s="20" t="n">
        <v>166</v>
      </c>
      <c r="B179" s="21">
        <f>IF(A179&lt;=$C$9, EDATE($C$10, A179), "")</f>
        <v/>
      </c>
      <c r="C179" s="22">
        <f>IF(A179&lt;=$C$9, H178, 0)</f>
        <v/>
      </c>
      <c r="D179" s="22">
        <f>IF(AND(A179&lt;=$C$9, C179&gt;0), $H$5, 0)</f>
        <v/>
      </c>
      <c r="E179" s="22">
        <f>IF(AND(A179&lt;=$C$9, C179&gt;0), C179*$C$8, 0)</f>
        <v/>
      </c>
      <c r="F179" s="18">
        <f>IF(AND(A179&lt;=$C$9, C179&gt;0), D179, 0)</f>
        <v/>
      </c>
      <c r="G179" s="22">
        <f>IF(AND(A179&lt;=$C$9, C179&gt;0), MIN(C179, MAX(0, F179-E179)), 0)</f>
        <v/>
      </c>
      <c r="H179" s="23">
        <f>IF(AND(A179&lt;=$C$9, C179&gt;0), MAX(0, C179-G179), 0)</f>
        <v/>
      </c>
      <c r="I179" s="20">
        <f>IF(A179&gt;$C$9, "", IF(C179=0, "Finalizado", IF(F179=0, "Sin Pago", IF(F179&gt;D179+100, "Abono Extra", IF(F179&lt;D179-100, "Pago Parcial", "Al Día")))))</f>
        <v/>
      </c>
    </row>
    <row r="180" ht="20" customHeight="1">
      <c r="A180" s="15" t="n">
        <v>167</v>
      </c>
      <c r="B180" s="16">
        <f>IF(A180&lt;=$C$9, EDATE($C$10, A180), "")</f>
        <v/>
      </c>
      <c r="C180" s="17">
        <f>IF(A180&lt;=$C$9, H179, 0)</f>
        <v/>
      </c>
      <c r="D180" s="17">
        <f>IF(AND(A180&lt;=$C$9, C180&gt;0), $H$5, 0)</f>
        <v/>
      </c>
      <c r="E180" s="17">
        <f>IF(AND(A180&lt;=$C$9, C180&gt;0), C180*$C$8, 0)</f>
        <v/>
      </c>
      <c r="F180" s="18">
        <f>IF(AND(A180&lt;=$C$9, C180&gt;0), D180, 0)</f>
        <v/>
      </c>
      <c r="G180" s="17">
        <f>IF(AND(A180&lt;=$C$9, C180&gt;0), MIN(C180, MAX(0, F180-E180)), 0)</f>
        <v/>
      </c>
      <c r="H180" s="19">
        <f>IF(AND(A180&lt;=$C$9, C180&gt;0), MAX(0, C180-G180), 0)</f>
        <v/>
      </c>
      <c r="I180" s="15">
        <f>IF(A180&gt;$C$9, "", IF(C180=0, "Finalizado", IF(F180=0, "Sin Pago", IF(F180&gt;D180+100, "Abono Extra", IF(F180&lt;D180-100, "Pago Parcial", "Al Día")))))</f>
        <v/>
      </c>
    </row>
    <row r="181" ht="20" customHeight="1">
      <c r="A181" s="20" t="n">
        <v>168</v>
      </c>
      <c r="B181" s="21">
        <f>IF(A181&lt;=$C$9, EDATE($C$10, A181), "")</f>
        <v/>
      </c>
      <c r="C181" s="22">
        <f>IF(A181&lt;=$C$9, H180, 0)</f>
        <v/>
      </c>
      <c r="D181" s="22">
        <f>IF(AND(A181&lt;=$C$9, C181&gt;0), $H$5, 0)</f>
        <v/>
      </c>
      <c r="E181" s="22">
        <f>IF(AND(A181&lt;=$C$9, C181&gt;0), C181*$C$8, 0)</f>
        <v/>
      </c>
      <c r="F181" s="18">
        <f>IF(AND(A181&lt;=$C$9, C181&gt;0), D181, 0)</f>
        <v/>
      </c>
      <c r="G181" s="22">
        <f>IF(AND(A181&lt;=$C$9, C181&gt;0), MIN(C181, MAX(0, F181-E181)), 0)</f>
        <v/>
      </c>
      <c r="H181" s="23">
        <f>IF(AND(A181&lt;=$C$9, C181&gt;0), MAX(0, C181-G181), 0)</f>
        <v/>
      </c>
      <c r="I181" s="20">
        <f>IF(A181&gt;$C$9, "", IF(C181=0, "Finalizado", IF(F181=0, "Sin Pago", IF(F181&gt;D181+100, "Abono Extra", IF(F181&lt;D181-100, "Pago Parcial", "Al Día")))))</f>
        <v/>
      </c>
    </row>
    <row r="182" ht="20" customHeight="1">
      <c r="A182" s="15" t="n">
        <v>169</v>
      </c>
      <c r="B182" s="16">
        <f>IF(A182&lt;=$C$9, EDATE($C$10, A182), "")</f>
        <v/>
      </c>
      <c r="C182" s="17">
        <f>IF(A182&lt;=$C$9, H181, 0)</f>
        <v/>
      </c>
      <c r="D182" s="17">
        <f>IF(AND(A182&lt;=$C$9, C182&gt;0), $H$5, 0)</f>
        <v/>
      </c>
      <c r="E182" s="17">
        <f>IF(AND(A182&lt;=$C$9, C182&gt;0), C182*$C$8, 0)</f>
        <v/>
      </c>
      <c r="F182" s="18">
        <f>IF(AND(A182&lt;=$C$9, C182&gt;0), D182, 0)</f>
        <v/>
      </c>
      <c r="G182" s="17">
        <f>IF(AND(A182&lt;=$C$9, C182&gt;0), MIN(C182, MAX(0, F182-E182)), 0)</f>
        <v/>
      </c>
      <c r="H182" s="19">
        <f>IF(AND(A182&lt;=$C$9, C182&gt;0), MAX(0, C182-G182), 0)</f>
        <v/>
      </c>
      <c r="I182" s="15">
        <f>IF(A182&gt;$C$9, "", IF(C182=0, "Finalizado", IF(F182=0, "Sin Pago", IF(F182&gt;D182+100, "Abono Extra", IF(F182&lt;D182-100, "Pago Parcial", "Al Día")))))</f>
        <v/>
      </c>
    </row>
    <row r="183" ht="20" customHeight="1">
      <c r="A183" s="20" t="n">
        <v>170</v>
      </c>
      <c r="B183" s="21">
        <f>IF(A183&lt;=$C$9, EDATE($C$10, A183), "")</f>
        <v/>
      </c>
      <c r="C183" s="22">
        <f>IF(A183&lt;=$C$9, H182, 0)</f>
        <v/>
      </c>
      <c r="D183" s="22">
        <f>IF(AND(A183&lt;=$C$9, C183&gt;0), $H$5, 0)</f>
        <v/>
      </c>
      <c r="E183" s="22">
        <f>IF(AND(A183&lt;=$C$9, C183&gt;0), C183*$C$8, 0)</f>
        <v/>
      </c>
      <c r="F183" s="18">
        <f>IF(AND(A183&lt;=$C$9, C183&gt;0), D183, 0)</f>
        <v/>
      </c>
      <c r="G183" s="22">
        <f>IF(AND(A183&lt;=$C$9, C183&gt;0), MIN(C183, MAX(0, F183-E183)), 0)</f>
        <v/>
      </c>
      <c r="H183" s="23">
        <f>IF(AND(A183&lt;=$C$9, C183&gt;0), MAX(0, C183-G183), 0)</f>
        <v/>
      </c>
      <c r="I183" s="20">
        <f>IF(A183&gt;$C$9, "", IF(C183=0, "Finalizado", IF(F183=0, "Sin Pago", IF(F183&gt;D183+100, "Abono Extra", IF(F183&lt;D183-100, "Pago Parcial", "Al Día")))))</f>
        <v/>
      </c>
    </row>
    <row r="184" ht="20" customHeight="1">
      <c r="A184" s="15" t="n">
        <v>171</v>
      </c>
      <c r="B184" s="16">
        <f>IF(A184&lt;=$C$9, EDATE($C$10, A184), "")</f>
        <v/>
      </c>
      <c r="C184" s="17">
        <f>IF(A184&lt;=$C$9, H183, 0)</f>
        <v/>
      </c>
      <c r="D184" s="17">
        <f>IF(AND(A184&lt;=$C$9, C184&gt;0), $H$5, 0)</f>
        <v/>
      </c>
      <c r="E184" s="17">
        <f>IF(AND(A184&lt;=$C$9, C184&gt;0), C184*$C$8, 0)</f>
        <v/>
      </c>
      <c r="F184" s="18">
        <f>IF(AND(A184&lt;=$C$9, C184&gt;0), D184, 0)</f>
        <v/>
      </c>
      <c r="G184" s="17">
        <f>IF(AND(A184&lt;=$C$9, C184&gt;0), MIN(C184, MAX(0, F184-E184)), 0)</f>
        <v/>
      </c>
      <c r="H184" s="19">
        <f>IF(AND(A184&lt;=$C$9, C184&gt;0), MAX(0, C184-G184), 0)</f>
        <v/>
      </c>
      <c r="I184" s="15">
        <f>IF(A184&gt;$C$9, "", IF(C184=0, "Finalizado", IF(F184=0, "Sin Pago", IF(F184&gt;D184+100, "Abono Extra", IF(F184&lt;D184-100, "Pago Parcial", "Al Día")))))</f>
        <v/>
      </c>
    </row>
    <row r="185" ht="20" customHeight="1">
      <c r="A185" s="20" t="n">
        <v>172</v>
      </c>
      <c r="B185" s="21">
        <f>IF(A185&lt;=$C$9, EDATE($C$10, A185), "")</f>
        <v/>
      </c>
      <c r="C185" s="22">
        <f>IF(A185&lt;=$C$9, H184, 0)</f>
        <v/>
      </c>
      <c r="D185" s="22">
        <f>IF(AND(A185&lt;=$C$9, C185&gt;0), $H$5, 0)</f>
        <v/>
      </c>
      <c r="E185" s="22">
        <f>IF(AND(A185&lt;=$C$9, C185&gt;0), C185*$C$8, 0)</f>
        <v/>
      </c>
      <c r="F185" s="18">
        <f>IF(AND(A185&lt;=$C$9, C185&gt;0), D185, 0)</f>
        <v/>
      </c>
      <c r="G185" s="22">
        <f>IF(AND(A185&lt;=$C$9, C185&gt;0), MIN(C185, MAX(0, F185-E185)), 0)</f>
        <v/>
      </c>
      <c r="H185" s="23">
        <f>IF(AND(A185&lt;=$C$9, C185&gt;0), MAX(0, C185-G185), 0)</f>
        <v/>
      </c>
      <c r="I185" s="20">
        <f>IF(A185&gt;$C$9, "", IF(C185=0, "Finalizado", IF(F185=0, "Sin Pago", IF(F185&gt;D185+100, "Abono Extra", IF(F185&lt;D185-100, "Pago Parcial", "Al Día")))))</f>
        <v/>
      </c>
    </row>
    <row r="186" ht="20" customHeight="1">
      <c r="A186" s="15" t="n">
        <v>173</v>
      </c>
      <c r="B186" s="16">
        <f>IF(A186&lt;=$C$9, EDATE($C$10, A186), "")</f>
        <v/>
      </c>
      <c r="C186" s="17">
        <f>IF(A186&lt;=$C$9, H185, 0)</f>
        <v/>
      </c>
      <c r="D186" s="17">
        <f>IF(AND(A186&lt;=$C$9, C186&gt;0), $H$5, 0)</f>
        <v/>
      </c>
      <c r="E186" s="17">
        <f>IF(AND(A186&lt;=$C$9, C186&gt;0), C186*$C$8, 0)</f>
        <v/>
      </c>
      <c r="F186" s="18">
        <f>IF(AND(A186&lt;=$C$9, C186&gt;0), D186, 0)</f>
        <v/>
      </c>
      <c r="G186" s="17">
        <f>IF(AND(A186&lt;=$C$9, C186&gt;0), MIN(C186, MAX(0, F186-E186)), 0)</f>
        <v/>
      </c>
      <c r="H186" s="19">
        <f>IF(AND(A186&lt;=$C$9, C186&gt;0), MAX(0, C186-G186), 0)</f>
        <v/>
      </c>
      <c r="I186" s="15">
        <f>IF(A186&gt;$C$9, "", IF(C186=0, "Finalizado", IF(F186=0, "Sin Pago", IF(F186&gt;D186+100, "Abono Extra", IF(F186&lt;D186-100, "Pago Parcial", "Al Día")))))</f>
        <v/>
      </c>
    </row>
    <row r="187" ht="20" customHeight="1">
      <c r="A187" s="20" t="n">
        <v>174</v>
      </c>
      <c r="B187" s="21">
        <f>IF(A187&lt;=$C$9, EDATE($C$10, A187), "")</f>
        <v/>
      </c>
      <c r="C187" s="22">
        <f>IF(A187&lt;=$C$9, H186, 0)</f>
        <v/>
      </c>
      <c r="D187" s="22">
        <f>IF(AND(A187&lt;=$C$9, C187&gt;0), $H$5, 0)</f>
        <v/>
      </c>
      <c r="E187" s="22">
        <f>IF(AND(A187&lt;=$C$9, C187&gt;0), C187*$C$8, 0)</f>
        <v/>
      </c>
      <c r="F187" s="18">
        <f>IF(AND(A187&lt;=$C$9, C187&gt;0), D187, 0)</f>
        <v/>
      </c>
      <c r="G187" s="22">
        <f>IF(AND(A187&lt;=$C$9, C187&gt;0), MIN(C187, MAX(0, F187-E187)), 0)</f>
        <v/>
      </c>
      <c r="H187" s="23">
        <f>IF(AND(A187&lt;=$C$9, C187&gt;0), MAX(0, C187-G187), 0)</f>
        <v/>
      </c>
      <c r="I187" s="20">
        <f>IF(A187&gt;$C$9, "", IF(C187=0, "Finalizado", IF(F187=0, "Sin Pago", IF(F187&gt;D187+100, "Abono Extra", IF(F187&lt;D187-100, "Pago Parcial", "Al Día")))))</f>
        <v/>
      </c>
    </row>
    <row r="188" ht="20" customHeight="1">
      <c r="A188" s="15" t="n">
        <v>175</v>
      </c>
      <c r="B188" s="16">
        <f>IF(A188&lt;=$C$9, EDATE($C$10, A188), "")</f>
        <v/>
      </c>
      <c r="C188" s="17">
        <f>IF(A188&lt;=$C$9, H187, 0)</f>
        <v/>
      </c>
      <c r="D188" s="17">
        <f>IF(AND(A188&lt;=$C$9, C188&gt;0), $H$5, 0)</f>
        <v/>
      </c>
      <c r="E188" s="17">
        <f>IF(AND(A188&lt;=$C$9, C188&gt;0), C188*$C$8, 0)</f>
        <v/>
      </c>
      <c r="F188" s="18">
        <f>IF(AND(A188&lt;=$C$9, C188&gt;0), D188, 0)</f>
        <v/>
      </c>
      <c r="G188" s="17">
        <f>IF(AND(A188&lt;=$C$9, C188&gt;0), MIN(C188, MAX(0, F188-E188)), 0)</f>
        <v/>
      </c>
      <c r="H188" s="19">
        <f>IF(AND(A188&lt;=$C$9, C188&gt;0), MAX(0, C188-G188), 0)</f>
        <v/>
      </c>
      <c r="I188" s="15">
        <f>IF(A188&gt;$C$9, "", IF(C188=0, "Finalizado", IF(F188=0, "Sin Pago", IF(F188&gt;D188+100, "Abono Extra", IF(F188&lt;D188-100, "Pago Parcial", "Al Día")))))</f>
        <v/>
      </c>
    </row>
    <row r="189" ht="20" customHeight="1">
      <c r="A189" s="20" t="n">
        <v>176</v>
      </c>
      <c r="B189" s="21">
        <f>IF(A189&lt;=$C$9, EDATE($C$10, A189), "")</f>
        <v/>
      </c>
      <c r="C189" s="22">
        <f>IF(A189&lt;=$C$9, H188, 0)</f>
        <v/>
      </c>
      <c r="D189" s="22">
        <f>IF(AND(A189&lt;=$C$9, C189&gt;0), $H$5, 0)</f>
        <v/>
      </c>
      <c r="E189" s="22">
        <f>IF(AND(A189&lt;=$C$9, C189&gt;0), C189*$C$8, 0)</f>
        <v/>
      </c>
      <c r="F189" s="18">
        <f>IF(AND(A189&lt;=$C$9, C189&gt;0), D189, 0)</f>
        <v/>
      </c>
      <c r="G189" s="22">
        <f>IF(AND(A189&lt;=$C$9, C189&gt;0), MIN(C189, MAX(0, F189-E189)), 0)</f>
        <v/>
      </c>
      <c r="H189" s="23">
        <f>IF(AND(A189&lt;=$C$9, C189&gt;0), MAX(0, C189-G189), 0)</f>
        <v/>
      </c>
      <c r="I189" s="20">
        <f>IF(A189&gt;$C$9, "", IF(C189=0, "Finalizado", IF(F189=0, "Sin Pago", IF(F189&gt;D189+100, "Abono Extra", IF(F189&lt;D189-100, "Pago Parcial", "Al Día")))))</f>
        <v/>
      </c>
    </row>
    <row r="190" ht="20" customHeight="1">
      <c r="A190" s="15" t="n">
        <v>177</v>
      </c>
      <c r="B190" s="16">
        <f>IF(A190&lt;=$C$9, EDATE($C$10, A190), "")</f>
        <v/>
      </c>
      <c r="C190" s="17">
        <f>IF(A190&lt;=$C$9, H189, 0)</f>
        <v/>
      </c>
      <c r="D190" s="17">
        <f>IF(AND(A190&lt;=$C$9, C190&gt;0), $H$5, 0)</f>
        <v/>
      </c>
      <c r="E190" s="17">
        <f>IF(AND(A190&lt;=$C$9, C190&gt;0), C190*$C$8, 0)</f>
        <v/>
      </c>
      <c r="F190" s="18">
        <f>IF(AND(A190&lt;=$C$9, C190&gt;0), D190, 0)</f>
        <v/>
      </c>
      <c r="G190" s="17">
        <f>IF(AND(A190&lt;=$C$9, C190&gt;0), MIN(C190, MAX(0, F190-E190)), 0)</f>
        <v/>
      </c>
      <c r="H190" s="19">
        <f>IF(AND(A190&lt;=$C$9, C190&gt;0), MAX(0, C190-G190), 0)</f>
        <v/>
      </c>
      <c r="I190" s="15">
        <f>IF(A190&gt;$C$9, "", IF(C190=0, "Finalizado", IF(F190=0, "Sin Pago", IF(F190&gt;D190+100, "Abono Extra", IF(F190&lt;D190-100, "Pago Parcial", "Al Día")))))</f>
        <v/>
      </c>
    </row>
    <row r="191" ht="20" customHeight="1">
      <c r="A191" s="20" t="n">
        <v>178</v>
      </c>
      <c r="B191" s="21">
        <f>IF(A191&lt;=$C$9, EDATE($C$10, A191), "")</f>
        <v/>
      </c>
      <c r="C191" s="22">
        <f>IF(A191&lt;=$C$9, H190, 0)</f>
        <v/>
      </c>
      <c r="D191" s="22">
        <f>IF(AND(A191&lt;=$C$9, C191&gt;0), $H$5, 0)</f>
        <v/>
      </c>
      <c r="E191" s="22">
        <f>IF(AND(A191&lt;=$C$9, C191&gt;0), C191*$C$8, 0)</f>
        <v/>
      </c>
      <c r="F191" s="18">
        <f>IF(AND(A191&lt;=$C$9, C191&gt;0), D191, 0)</f>
        <v/>
      </c>
      <c r="G191" s="22">
        <f>IF(AND(A191&lt;=$C$9, C191&gt;0), MIN(C191, MAX(0, F191-E191)), 0)</f>
        <v/>
      </c>
      <c r="H191" s="23">
        <f>IF(AND(A191&lt;=$C$9, C191&gt;0), MAX(0, C191-G191), 0)</f>
        <v/>
      </c>
      <c r="I191" s="20">
        <f>IF(A191&gt;$C$9, "", IF(C191=0, "Finalizado", IF(F191=0, "Sin Pago", IF(F191&gt;D191+100, "Abono Extra", IF(F191&lt;D191-100, "Pago Parcial", "Al Día")))))</f>
        <v/>
      </c>
    </row>
    <row r="192" ht="20" customHeight="1">
      <c r="A192" s="15" t="n">
        <v>179</v>
      </c>
      <c r="B192" s="16">
        <f>IF(A192&lt;=$C$9, EDATE($C$10, A192), "")</f>
        <v/>
      </c>
      <c r="C192" s="17">
        <f>IF(A192&lt;=$C$9, H191, 0)</f>
        <v/>
      </c>
      <c r="D192" s="17">
        <f>IF(AND(A192&lt;=$C$9, C192&gt;0), $H$5, 0)</f>
        <v/>
      </c>
      <c r="E192" s="17">
        <f>IF(AND(A192&lt;=$C$9, C192&gt;0), C192*$C$8, 0)</f>
        <v/>
      </c>
      <c r="F192" s="18">
        <f>IF(AND(A192&lt;=$C$9, C192&gt;0), D192, 0)</f>
        <v/>
      </c>
      <c r="G192" s="17">
        <f>IF(AND(A192&lt;=$C$9, C192&gt;0), MIN(C192, MAX(0, F192-E192)), 0)</f>
        <v/>
      </c>
      <c r="H192" s="19">
        <f>IF(AND(A192&lt;=$C$9, C192&gt;0), MAX(0, C192-G192), 0)</f>
        <v/>
      </c>
      <c r="I192" s="15">
        <f>IF(A192&gt;$C$9, "", IF(C192=0, "Finalizado", IF(F192=0, "Sin Pago", IF(F192&gt;D192+100, "Abono Extra", IF(F192&lt;D192-100, "Pago Parcial", "Al Día")))))</f>
        <v/>
      </c>
    </row>
    <row r="193" ht="20" customHeight="1">
      <c r="A193" s="20" t="n">
        <v>180</v>
      </c>
      <c r="B193" s="21">
        <f>IF(A193&lt;=$C$9, EDATE($C$10, A193), "")</f>
        <v/>
      </c>
      <c r="C193" s="22">
        <f>IF(A193&lt;=$C$9, H192, 0)</f>
        <v/>
      </c>
      <c r="D193" s="22">
        <f>IF(AND(A193&lt;=$C$9, C193&gt;0), $H$5, 0)</f>
        <v/>
      </c>
      <c r="E193" s="22">
        <f>IF(AND(A193&lt;=$C$9, C193&gt;0), C193*$C$8, 0)</f>
        <v/>
      </c>
      <c r="F193" s="18">
        <f>IF(AND(A193&lt;=$C$9, C193&gt;0), D193, 0)</f>
        <v/>
      </c>
      <c r="G193" s="22">
        <f>IF(AND(A193&lt;=$C$9, C193&gt;0), MIN(C193, MAX(0, F193-E193)), 0)</f>
        <v/>
      </c>
      <c r="H193" s="23">
        <f>IF(AND(A193&lt;=$C$9, C193&gt;0), MAX(0, C193-G193), 0)</f>
        <v/>
      </c>
      <c r="I193" s="20">
        <f>IF(A193&gt;$C$9, "", IF(C193=0, "Finalizado", IF(F193=0, "Sin Pago", IF(F193&gt;D193+100, "Abono Extra", IF(F193&lt;D193-100, "Pago Parcial", "Al Día")))))</f>
        <v/>
      </c>
    </row>
    <row r="194" ht="24" customHeight="1">
      <c r="A194" s="24" t="inlineStr">
        <is>
          <t>TOTALES</t>
        </is>
      </c>
      <c r="B194" s="25" t="inlineStr"/>
      <c r="C194" s="25" t="inlineStr"/>
      <c r="D194" s="26">
        <f>SUM(D14:D193)</f>
        <v/>
      </c>
      <c r="E194" s="26">
        <f>SUM(E14:E193)</f>
        <v/>
      </c>
      <c r="F194" s="26">
        <f>SUM(F14:F193)</f>
        <v/>
      </c>
      <c r="G194" s="26">
        <f>SUM(G14:G193)</f>
        <v/>
      </c>
      <c r="H194" s="26">
        <f>H193</f>
        <v/>
      </c>
      <c r="I194" s="25" t="inlineStr"/>
    </row>
  </sheetData>
  <mergeCells count="5">
    <mergeCell ref="A2:I2"/>
    <mergeCell ref="A11:I11"/>
    <mergeCell ref="A4:D4"/>
    <mergeCell ref="F4:I4"/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2026-09-26T17:59:36Z</dcterms:created>
  <dcterms:modified xsi:type="dcterms:W3CDTF">2026-09-26T17:59:36Z</dcterms:modified>
</cp:coreProperties>
</file>